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 + Formulas" sheetId="1" state="visible" r:id="rId1"/>
    <sheet xmlns:r="http://schemas.openxmlformats.org/officeDocument/2006/relationships" name="Pivot - Yield by Crop×Season" sheetId="2" state="visible" r:id="rId2"/>
    <sheet xmlns:r="http://schemas.openxmlformats.org/officeDocument/2006/relationships" name="Pivot - Irrigation Type" sheetId="3" state="visible" r:id="rId3"/>
    <sheet xmlns:r="http://schemas.openxmlformats.org/officeDocument/2006/relationships" name="Pivot - Soil Type" sheetId="4" state="visible" r:id="rId4"/>
    <sheet xmlns:r="http://schemas.openxmlformats.org/officeDocument/2006/relationships" name="Formula Reference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C6591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4" fillId="4" borderId="1" pivotButton="0" quotePrefix="0" xfId="0"/>
    <xf numFmtId="0" fontId="4" fillId="0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Crop Type and Season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Yield by Crop×Season'!B3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Yield by Crop×Season'!$A$4:$A$13</f>
            </numRef>
          </cat>
          <val>
            <numRef>
              <f>'Pivot - Yield by Crop×Season'!$B$4:$B$13</f>
            </numRef>
          </val>
        </ser>
        <ser>
          <idx val="1"/>
          <order val="1"/>
          <tx>
            <strRef>
              <f>'Pivot - Yield by Crop×Season'!C3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Yield by Crop×Season'!$A$4:$A$13</f>
            </numRef>
          </cat>
          <val>
            <numRef>
              <f>'Pivot - Yield by Crop×Season'!$C$4:$C$13</f>
            </numRef>
          </val>
        </ser>
        <ser>
          <idx val="2"/>
          <order val="2"/>
          <tx>
            <strRef>
              <f>'Pivot - Yield by Crop×Season'!D3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Yield by Crop×Season'!$A$4:$A$13</f>
            </numRef>
          </cat>
          <val>
            <numRef>
              <f>'Pivot - Yield by Crop×Season'!$D$4:$D$13</f>
            </numRef>
          </val>
        </ser>
        <ser>
          <idx val="3"/>
          <order val="3"/>
          <tx>
            <strRef>
              <f>'Pivot - Yield by Crop×Season'!E3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Yield by Crop×Season'!$A$4:$A$13</f>
            </numRef>
          </cat>
          <val>
            <numRef>
              <f>'Pivot - Yield by Crop×Season'!$E$4:$E$13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Metrics by Irrigation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Irrigation Type'!B3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Irrigation Type'!$A$4:$A$8</f>
            </numRef>
          </cat>
          <val>
            <numRef>
              <f>'Pivot - Irrigation Type'!$B$4:$B$8</f>
            </numRef>
          </val>
        </ser>
        <ser>
          <idx val="1"/>
          <order val="1"/>
          <tx>
            <strRef>
              <f>'Pivot - Irrigation Type'!C3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Irrigation Type'!$A$4:$A$8</f>
            </numRef>
          </cat>
          <val>
            <numRef>
              <f>'Pivot - Irrigation Type'!$C$4:$C$8</f>
            </numRef>
          </val>
        </ser>
        <ser>
          <idx val="2"/>
          <order val="2"/>
          <tx>
            <strRef>
              <f>'Pivot - Irrigation Type'!D3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Irrigation Type'!$A$4:$A$8</f>
            </numRef>
          </cat>
          <val>
            <numRef>
              <f>'Pivot - Irrigation Type'!$D$4:$D$8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Metrics by Soil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Soil Type'!B3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Soil Type'!$A$4:$A$8</f>
            </numRef>
          </cat>
          <val>
            <numRef>
              <f>'Pivot - Soil Type'!$B$4:$B$8</f>
            </numRef>
          </val>
        </ser>
        <ser>
          <idx val="1"/>
          <order val="1"/>
          <tx>
            <strRef>
              <f>'Pivot - Soil Type'!C3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Soil Type'!$A$4:$A$8</f>
            </numRef>
          </cat>
          <val>
            <numRef>
              <f>'Pivot - Soil Type'!$C$4:$C$8</f>
            </numRef>
          </val>
        </ser>
        <ser>
          <idx val="2"/>
          <order val="2"/>
          <tx>
            <strRef>
              <f>'Pivot - Soil Type'!D3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Soil Type'!$A$4:$A$8</f>
            </numRef>
          </cat>
          <val>
            <numRef>
              <f>'Pivot - Soil Type'!$D$4:$D$8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" t="inlineStr">
        <is>
          <t>✓ CLEANED DATA WITH CALCULATION FORMULAS</t>
        </is>
      </c>
    </row>
    <row r="3" ht="20" customHeight="1">
      <c r="A3" s="2" t="inlineStr">
        <is>
          <t>Farm_ID</t>
        </is>
      </c>
      <c r="B3" s="2" t="inlineStr">
        <is>
          <t>Crop_Type</t>
        </is>
      </c>
      <c r="C3" s="2" t="inlineStr">
        <is>
          <t>Farm_Area(acres)</t>
        </is>
      </c>
      <c r="D3" s="2" t="inlineStr">
        <is>
          <t>Irrigation_Type</t>
        </is>
      </c>
      <c r="E3" s="2" t="inlineStr">
        <is>
          <t>Fertilizer_Used(tons)</t>
        </is>
      </c>
      <c r="F3" s="2" t="inlineStr">
        <is>
          <t>Pesticide_Used(kg)</t>
        </is>
      </c>
      <c r="G3" s="2" t="inlineStr">
        <is>
          <t>Yield(tons)</t>
        </is>
      </c>
      <c r="H3" s="2" t="inlineStr">
        <is>
          <t>Soil_Type</t>
        </is>
      </c>
      <c r="I3" s="2" t="inlineStr">
        <is>
          <t>Season</t>
        </is>
      </c>
      <c r="J3" s="2" t="inlineStr">
        <is>
          <t>Water_Usage(cubic meters)</t>
        </is>
      </c>
      <c r="K3" s="2" t="inlineStr">
        <is>
          <t>Fertilizer_per_Acre</t>
        </is>
      </c>
      <c r="L3" s="2" t="inlineStr">
        <is>
          <t>Yield_per_Acre</t>
        </is>
      </c>
      <c r="M3" s="2" t="inlineStr">
        <is>
          <t>Water_per_Ton_Yield</t>
        </is>
      </c>
      <c r="N3" s="2" t="inlineStr">
        <is>
          <t>Efficiency_Score</t>
        </is>
      </c>
    </row>
    <row r="4">
      <c r="A4" s="3" t="inlineStr">
        <is>
          <t>F001</t>
        </is>
      </c>
      <c r="B4" s="3" t="inlineStr">
        <is>
          <t>Cotton</t>
        </is>
      </c>
      <c r="C4" s="4" t="n">
        <v>329.4</v>
      </c>
      <c r="D4" s="3" t="inlineStr">
        <is>
          <t>Sprinkler</t>
        </is>
      </c>
      <c r="E4" s="4" t="n">
        <v>8.140000000000001</v>
      </c>
      <c r="F4" s="4" t="n">
        <v>2.21</v>
      </c>
      <c r="G4" s="4" t="n">
        <v>14.44</v>
      </c>
      <c r="H4" s="3" t="inlineStr">
        <is>
          <t>Loamy</t>
        </is>
      </c>
      <c r="I4" s="3" t="inlineStr">
        <is>
          <t>Kharif</t>
        </is>
      </c>
      <c r="J4" s="4" t="n">
        <v>76648.2</v>
      </c>
      <c r="K4" s="5">
        <f>E4/C4</f>
        <v/>
      </c>
      <c r="L4" s="5">
        <f>G4/C4</f>
        <v/>
      </c>
      <c r="M4" s="5">
        <f>IF(G4=0,0,J4/G4)</f>
        <v/>
      </c>
      <c r="N4" s="5">
        <f>IF(E4=0,0,ROUND((G4/E4)*10,2))</f>
        <v/>
      </c>
    </row>
    <row r="5">
      <c r="A5" s="3" t="inlineStr">
        <is>
          <t>F002</t>
        </is>
      </c>
      <c r="B5" s="3" t="inlineStr">
        <is>
          <t>Carrot</t>
        </is>
      </c>
      <c r="C5" s="4" t="n">
        <v>18.67</v>
      </c>
      <c r="D5" s="3" t="inlineStr">
        <is>
          <t>Manual</t>
        </is>
      </c>
      <c r="E5" s="4" t="n">
        <v>4.77</v>
      </c>
      <c r="F5" s="4" t="n">
        <v>4.36</v>
      </c>
      <c r="G5" s="4" t="n">
        <v>42.91</v>
      </c>
      <c r="H5" s="3" t="inlineStr">
        <is>
          <t>Peaty</t>
        </is>
      </c>
      <c r="I5" s="3" t="inlineStr">
        <is>
          <t>Kharif</t>
        </is>
      </c>
      <c r="J5" s="4" t="n">
        <v>68725.53999999999</v>
      </c>
      <c r="K5" s="5">
        <f>E5/C5</f>
        <v/>
      </c>
      <c r="L5" s="5">
        <f>G5/C5</f>
        <v/>
      </c>
      <c r="M5" s="5">
        <f>IF(G5=0,0,J5/G5)</f>
        <v/>
      </c>
      <c r="N5" s="5">
        <f>IF(E5=0,0,ROUND((G5/E5)*10,2))</f>
        <v/>
      </c>
    </row>
    <row r="6">
      <c r="A6" s="3" t="inlineStr">
        <is>
          <t>F003</t>
        </is>
      </c>
      <c r="B6" s="3" t="inlineStr">
        <is>
          <t>Sugarcane</t>
        </is>
      </c>
      <c r="C6" s="4" t="n">
        <v>306.03</v>
      </c>
      <c r="D6" s="3" t="inlineStr">
        <is>
          <t>Flood</t>
        </is>
      </c>
      <c r="E6" s="4" t="n">
        <v>2.91</v>
      </c>
      <c r="F6" s="4" t="n">
        <v>0.5600000000000001</v>
      </c>
      <c r="G6" s="4" t="n">
        <v>33.44</v>
      </c>
      <c r="H6" s="3" t="inlineStr">
        <is>
          <t>Silty</t>
        </is>
      </c>
      <c r="I6" s="3" t="inlineStr">
        <is>
          <t>Kharif</t>
        </is>
      </c>
      <c r="J6" s="4" t="n">
        <v>75538.56</v>
      </c>
      <c r="K6" s="5">
        <f>E6/C6</f>
        <v/>
      </c>
      <c r="L6" s="5">
        <f>G6/C6</f>
        <v/>
      </c>
      <c r="M6" s="5">
        <f>IF(G6=0,0,J6/G6)</f>
        <v/>
      </c>
      <c r="N6" s="5">
        <f>IF(E6=0,0,ROUND((G6/E6)*10,2))</f>
        <v/>
      </c>
    </row>
    <row r="7">
      <c r="A7" s="3" t="inlineStr">
        <is>
          <t>F004</t>
        </is>
      </c>
      <c r="B7" s="3" t="inlineStr">
        <is>
          <t>Tomato</t>
        </is>
      </c>
      <c r="C7" s="4" t="n">
        <v>380.21</v>
      </c>
      <c r="D7" s="3" t="inlineStr">
        <is>
          <t>Rain-fed</t>
        </is>
      </c>
      <c r="E7" s="4" t="n">
        <v>3.32</v>
      </c>
      <c r="F7" s="4" t="n">
        <v>4.35</v>
      </c>
      <c r="G7" s="4" t="n">
        <v>34.08</v>
      </c>
      <c r="H7" s="3" t="inlineStr">
        <is>
          <t>Silty</t>
        </is>
      </c>
      <c r="I7" s="3" t="inlineStr">
        <is>
          <t>Zaid</t>
        </is>
      </c>
      <c r="J7" s="4" t="n">
        <v>45401.23</v>
      </c>
      <c r="K7" s="5">
        <f>E7/C7</f>
        <v/>
      </c>
      <c r="L7" s="5">
        <f>G7/C7</f>
        <v/>
      </c>
      <c r="M7" s="5">
        <f>IF(G7=0,0,J7/G7)</f>
        <v/>
      </c>
      <c r="N7" s="5">
        <f>IF(E7=0,0,ROUND((G7/E7)*10,2))</f>
        <v/>
      </c>
    </row>
    <row r="8">
      <c r="A8" s="3" t="inlineStr">
        <is>
          <t>F005</t>
        </is>
      </c>
      <c r="B8" s="3" t="inlineStr">
        <is>
          <t>Tomato</t>
        </is>
      </c>
      <c r="C8" s="4" t="n">
        <v>135.56</v>
      </c>
      <c r="D8" s="3" t="inlineStr">
        <is>
          <t>Sprinkler</t>
        </is>
      </c>
      <c r="E8" s="4" t="n">
        <v>8.33</v>
      </c>
      <c r="F8" s="4" t="n">
        <v>4.48</v>
      </c>
      <c r="G8" s="4" t="n">
        <v>43.28</v>
      </c>
      <c r="H8" s="3" t="inlineStr">
        <is>
          <t>Clay</t>
        </is>
      </c>
      <c r="I8" s="3" t="inlineStr">
        <is>
          <t>Zaid</t>
        </is>
      </c>
      <c r="J8" s="4" t="n">
        <v>93718.69</v>
      </c>
      <c r="K8" s="5">
        <f>E8/C8</f>
        <v/>
      </c>
      <c r="L8" s="5">
        <f>G8/C8</f>
        <v/>
      </c>
      <c r="M8" s="5">
        <f>IF(G8=0,0,J8/G8)</f>
        <v/>
      </c>
      <c r="N8" s="5">
        <f>IF(E8=0,0,ROUND((G8/E8)*10,2))</f>
        <v/>
      </c>
    </row>
    <row r="9">
      <c r="A9" s="3" t="inlineStr">
        <is>
          <t>F006</t>
        </is>
      </c>
      <c r="B9" s="3" t="inlineStr">
        <is>
          <t>Sugarcane</t>
        </is>
      </c>
      <c r="C9" s="4" t="n">
        <v>12.5</v>
      </c>
      <c r="D9" s="3" t="inlineStr">
        <is>
          <t>Sprinkler</t>
        </is>
      </c>
      <c r="E9" s="4" t="n">
        <v>6.42</v>
      </c>
      <c r="F9" s="4" t="n">
        <v>2.25</v>
      </c>
      <c r="G9" s="4" t="n">
        <v>38.18</v>
      </c>
      <c r="H9" s="3" t="inlineStr">
        <is>
          <t>Loamy</t>
        </is>
      </c>
      <c r="I9" s="3" t="inlineStr">
        <is>
          <t>Zaid</t>
        </is>
      </c>
      <c r="J9" s="4" t="n">
        <v>46487.98</v>
      </c>
      <c r="K9" s="5">
        <f>E9/C9</f>
        <v/>
      </c>
      <c r="L9" s="5">
        <f>G9/C9</f>
        <v/>
      </c>
      <c r="M9" s="5">
        <f>IF(G9=0,0,J9/G9)</f>
        <v/>
      </c>
      <c r="N9" s="5">
        <f>IF(E9=0,0,ROUND((G9/E9)*10,2))</f>
        <v/>
      </c>
    </row>
    <row r="10">
      <c r="A10" s="3" t="inlineStr">
        <is>
          <t>F007</t>
        </is>
      </c>
      <c r="B10" s="3" t="inlineStr">
        <is>
          <t>Soybean</t>
        </is>
      </c>
      <c r="C10" s="4" t="n">
        <v>360.06</v>
      </c>
      <c r="D10" s="3" t="inlineStr">
        <is>
          <t>Drip</t>
        </is>
      </c>
      <c r="E10" s="4" t="n">
        <v>1.83</v>
      </c>
      <c r="F10" s="4" t="n">
        <v>2.37</v>
      </c>
      <c r="G10" s="4" t="n">
        <v>44.93</v>
      </c>
      <c r="H10" s="3" t="inlineStr">
        <is>
          <t>Sandy</t>
        </is>
      </c>
      <c r="I10" s="3" t="inlineStr">
        <is>
          <t>Rabi</t>
        </is>
      </c>
      <c r="J10" s="4" t="n">
        <v>40583.57</v>
      </c>
      <c r="K10" s="5">
        <f>E10/C10</f>
        <v/>
      </c>
      <c r="L10" s="5">
        <f>G10/C10</f>
        <v/>
      </c>
      <c r="M10" s="5">
        <f>IF(G10=0,0,J10/G10)</f>
        <v/>
      </c>
      <c r="N10" s="5">
        <f>IF(E10=0,0,ROUND((G10/E10)*10,2))</f>
        <v/>
      </c>
    </row>
    <row r="11">
      <c r="A11" s="3" t="inlineStr">
        <is>
          <t>F008</t>
        </is>
      </c>
      <c r="B11" s="3" t="inlineStr">
        <is>
          <t>Rice</t>
        </is>
      </c>
      <c r="C11" s="4" t="n">
        <v>464.6</v>
      </c>
      <c r="D11" s="3" t="inlineStr">
        <is>
          <t>Drip</t>
        </is>
      </c>
      <c r="E11" s="4" t="n">
        <v>5.18</v>
      </c>
      <c r="F11" s="4" t="n">
        <v>0.91</v>
      </c>
      <c r="G11" s="4" t="n">
        <v>4.23</v>
      </c>
      <c r="H11" s="3" t="inlineStr">
        <is>
          <t>Silty</t>
        </is>
      </c>
      <c r="I11" s="3" t="inlineStr">
        <is>
          <t>Kharif</t>
        </is>
      </c>
      <c r="J11" s="4" t="n">
        <v>9392.379999999999</v>
      </c>
      <c r="K11" s="5">
        <f>E11/C11</f>
        <v/>
      </c>
      <c r="L11" s="5">
        <f>G11/C11</f>
        <v/>
      </c>
      <c r="M11" s="5">
        <f>IF(G11=0,0,J11/G11)</f>
        <v/>
      </c>
      <c r="N11" s="5">
        <f>IF(E11=0,0,ROUND((G11/E11)*10,2))</f>
        <v/>
      </c>
    </row>
    <row r="12">
      <c r="A12" s="3" t="inlineStr">
        <is>
          <t>F009</t>
        </is>
      </c>
      <c r="B12" s="3" t="inlineStr">
        <is>
          <t>Maize</t>
        </is>
      </c>
      <c r="C12" s="4" t="n">
        <v>389.37</v>
      </c>
      <c r="D12" s="3" t="inlineStr">
        <is>
          <t>Drip</t>
        </is>
      </c>
      <c r="E12" s="4" t="n">
        <v>0.57</v>
      </c>
      <c r="F12" s="4" t="n">
        <v>4.93</v>
      </c>
      <c r="G12" s="4" t="n">
        <v>3.86</v>
      </c>
      <c r="H12" s="3" t="inlineStr">
        <is>
          <t>Peaty</t>
        </is>
      </c>
      <c r="I12" s="3" t="inlineStr">
        <is>
          <t>Rabi</t>
        </is>
      </c>
      <c r="J12" s="4" t="n">
        <v>60202.14</v>
      </c>
      <c r="K12" s="5">
        <f>E12/C12</f>
        <v/>
      </c>
      <c r="L12" s="5">
        <f>G12/C12</f>
        <v/>
      </c>
      <c r="M12" s="5">
        <f>IF(G12=0,0,J12/G12)</f>
        <v/>
      </c>
      <c r="N12" s="5">
        <f>IF(E12=0,0,ROUND((G12/E12)*10,2))</f>
        <v/>
      </c>
    </row>
    <row r="13">
      <c r="A13" s="3" t="inlineStr">
        <is>
          <t>F010</t>
        </is>
      </c>
      <c r="B13" s="3" t="inlineStr">
        <is>
          <t>Soybean</t>
        </is>
      </c>
      <c r="C13" s="4" t="n">
        <v>184.37</v>
      </c>
      <c r="D13" s="3" t="inlineStr">
        <is>
          <t>Drip</t>
        </is>
      </c>
      <c r="E13" s="4" t="n">
        <v>2.18</v>
      </c>
      <c r="F13" s="4" t="n">
        <v>2.67</v>
      </c>
      <c r="G13" s="4" t="n">
        <v>17.25</v>
      </c>
      <c r="H13" s="3" t="inlineStr">
        <is>
          <t>Sandy</t>
        </is>
      </c>
      <c r="I13" s="3" t="inlineStr">
        <is>
          <t>Kharif</t>
        </is>
      </c>
      <c r="J13" s="4" t="n">
        <v>90922.14999999999</v>
      </c>
      <c r="K13" s="5">
        <f>E13/C13</f>
        <v/>
      </c>
      <c r="L13" s="5">
        <f>G13/C13</f>
        <v/>
      </c>
      <c r="M13" s="5">
        <f>IF(G13=0,0,J13/G13)</f>
        <v/>
      </c>
      <c r="N13" s="5">
        <f>IF(E13=0,0,ROUND((G13/E13)*10,2))</f>
        <v/>
      </c>
    </row>
    <row r="14">
      <c r="A14" s="3" t="inlineStr">
        <is>
          <t>F011</t>
        </is>
      </c>
      <c r="B14" s="3" t="inlineStr">
        <is>
          <t>Rice</t>
        </is>
      </c>
      <c r="C14" s="4" t="n">
        <v>279.95</v>
      </c>
      <c r="D14" s="3" t="inlineStr">
        <is>
          <t>Drip</t>
        </is>
      </c>
      <c r="E14" s="4" t="n">
        <v>8.02</v>
      </c>
      <c r="F14" s="4" t="n">
        <v>1.24</v>
      </c>
      <c r="G14" s="4" t="n">
        <v>32.85</v>
      </c>
      <c r="H14" s="3" t="inlineStr">
        <is>
          <t>Clay</t>
        </is>
      </c>
      <c r="I14" s="3" t="inlineStr">
        <is>
          <t>Zaid</t>
        </is>
      </c>
      <c r="J14" s="4" t="n">
        <v>5869.75</v>
      </c>
      <c r="K14" s="5">
        <f>E14/C14</f>
        <v/>
      </c>
      <c r="L14" s="5">
        <f>G14/C14</f>
        <v/>
      </c>
      <c r="M14" s="5">
        <f>IF(G14=0,0,J14/G14)</f>
        <v/>
      </c>
      <c r="N14" s="5">
        <f>IF(E14=0,0,ROUND((G14/E14)*10,2))</f>
        <v/>
      </c>
    </row>
    <row r="15">
      <c r="A15" s="3" t="inlineStr">
        <is>
          <t>F012</t>
        </is>
      </c>
      <c r="B15" s="3" t="inlineStr">
        <is>
          <t>Sugarcane</t>
        </is>
      </c>
      <c r="C15" s="4" t="n">
        <v>145.32</v>
      </c>
      <c r="D15" s="3" t="inlineStr">
        <is>
          <t>Flood</t>
        </is>
      </c>
      <c r="E15" s="4" t="n">
        <v>3.01</v>
      </c>
      <c r="F15" s="4" t="n">
        <v>2.27</v>
      </c>
      <c r="G15" s="4" t="n">
        <v>8.08</v>
      </c>
      <c r="H15" s="3" t="inlineStr">
        <is>
          <t>Clay</t>
        </is>
      </c>
      <c r="I15" s="3" t="inlineStr">
        <is>
          <t>Kharif</t>
        </is>
      </c>
      <c r="J15" s="4" t="n">
        <v>88976.50999999999</v>
      </c>
      <c r="K15" s="5">
        <f>E15/C15</f>
        <v/>
      </c>
      <c r="L15" s="5">
        <f>G15/C15</f>
        <v/>
      </c>
      <c r="M15" s="5">
        <f>IF(G15=0,0,J15/G15)</f>
        <v/>
      </c>
      <c r="N15" s="5">
        <f>IF(E15=0,0,ROUND((G15/E15)*10,2))</f>
        <v/>
      </c>
    </row>
    <row r="16">
      <c r="A16" s="3" t="inlineStr">
        <is>
          <t>F013</t>
        </is>
      </c>
      <c r="B16" s="3" t="inlineStr">
        <is>
          <t>Wheat</t>
        </is>
      </c>
      <c r="C16" s="4" t="n">
        <v>329.1</v>
      </c>
      <c r="D16" s="3" t="inlineStr">
        <is>
          <t>Drip</t>
        </is>
      </c>
      <c r="E16" s="4" t="n">
        <v>5.26</v>
      </c>
      <c r="F16" s="4" t="n">
        <v>0.83</v>
      </c>
      <c r="G16" s="4" t="n">
        <v>5.44</v>
      </c>
      <c r="H16" s="3" t="inlineStr">
        <is>
          <t>Clay</t>
        </is>
      </c>
      <c r="I16" s="3" t="inlineStr">
        <is>
          <t>Zaid</t>
        </is>
      </c>
      <c r="J16" s="4" t="n">
        <v>45922.35</v>
      </c>
      <c r="K16" s="5">
        <f>E16/C16</f>
        <v/>
      </c>
      <c r="L16" s="5">
        <f>G16/C16</f>
        <v/>
      </c>
      <c r="M16" s="5">
        <f>IF(G16=0,0,J16/G16)</f>
        <v/>
      </c>
      <c r="N16" s="5">
        <f>IF(E16=0,0,ROUND((G16/E16)*10,2))</f>
        <v/>
      </c>
    </row>
    <row r="17">
      <c r="A17" s="3" t="inlineStr">
        <is>
          <t>F014</t>
        </is>
      </c>
      <c r="B17" s="3" t="inlineStr">
        <is>
          <t>Rice</t>
        </is>
      </c>
      <c r="C17" s="4" t="n">
        <v>246.02</v>
      </c>
      <c r="D17" s="3" t="inlineStr">
        <is>
          <t>Flood</t>
        </is>
      </c>
      <c r="E17" s="4" t="n">
        <v>1.01</v>
      </c>
      <c r="F17" s="4" t="n">
        <v>3.45</v>
      </c>
      <c r="G17" s="4" t="n">
        <v>11.38</v>
      </c>
      <c r="H17" s="3" t="inlineStr">
        <is>
          <t>Sandy</t>
        </is>
      </c>
      <c r="I17" s="3" t="inlineStr">
        <is>
          <t>Rabi</t>
        </is>
      </c>
      <c r="J17" s="4" t="n">
        <v>71953.14</v>
      </c>
      <c r="K17" s="5">
        <f>E17/C17</f>
        <v/>
      </c>
      <c r="L17" s="5">
        <f>G17/C17</f>
        <v/>
      </c>
      <c r="M17" s="5">
        <f>IF(G17=0,0,J17/G17)</f>
        <v/>
      </c>
      <c r="N17" s="5">
        <f>IF(E17=0,0,ROUND((G17/E17)*10,2))</f>
        <v/>
      </c>
    </row>
    <row r="18">
      <c r="A18" s="3" t="inlineStr">
        <is>
          <t>F015</t>
        </is>
      </c>
      <c r="B18" s="3" t="inlineStr">
        <is>
          <t>Sugarcane</t>
        </is>
      </c>
      <c r="C18" s="4" t="n">
        <v>305.15</v>
      </c>
      <c r="D18" s="3" t="inlineStr">
        <is>
          <t>Rain-fed</t>
        </is>
      </c>
      <c r="E18" s="4" t="n">
        <v>5.39</v>
      </c>
      <c r="F18" s="4" t="n">
        <v>2.15</v>
      </c>
      <c r="G18" s="4" t="n">
        <v>28.77</v>
      </c>
      <c r="H18" s="3" t="inlineStr">
        <is>
          <t>Peaty</t>
        </is>
      </c>
      <c r="I18" s="3" t="inlineStr">
        <is>
          <t>Kharif</t>
        </is>
      </c>
      <c r="J18" s="4" t="n">
        <v>33615.77</v>
      </c>
      <c r="K18" s="5">
        <f>E18/C18</f>
        <v/>
      </c>
      <c r="L18" s="5">
        <f>G18/C18</f>
        <v/>
      </c>
      <c r="M18" s="5">
        <f>IF(G18=0,0,J18/G18)</f>
        <v/>
      </c>
      <c r="N18" s="5">
        <f>IF(E18=0,0,ROUND((G18/E18)*10,2))</f>
        <v/>
      </c>
    </row>
    <row r="19">
      <c r="A19" s="3" t="inlineStr">
        <is>
          <t>F016</t>
        </is>
      </c>
      <c r="B19" s="3" t="inlineStr">
        <is>
          <t>Barley</t>
        </is>
      </c>
      <c r="C19" s="4" t="n">
        <v>60.22</v>
      </c>
      <c r="D19" s="3" t="inlineStr">
        <is>
          <t>Flood</t>
        </is>
      </c>
      <c r="E19" s="4" t="n">
        <v>2.19</v>
      </c>
      <c r="F19" s="4" t="n">
        <v>0.35</v>
      </c>
      <c r="G19" s="4" t="n">
        <v>16.03</v>
      </c>
      <c r="H19" s="3" t="inlineStr">
        <is>
          <t>Sandy</t>
        </is>
      </c>
      <c r="I19" s="3" t="inlineStr">
        <is>
          <t>Zaid</t>
        </is>
      </c>
      <c r="J19" s="4" t="n">
        <v>25132.48</v>
      </c>
      <c r="K19" s="5">
        <f>E19/C19</f>
        <v/>
      </c>
      <c r="L19" s="5">
        <f>G19/C19</f>
        <v/>
      </c>
      <c r="M19" s="5">
        <f>IF(G19=0,0,J19/G19)</f>
        <v/>
      </c>
      <c r="N19" s="5">
        <f>IF(E19=0,0,ROUND((G19/E19)*10,2))</f>
        <v/>
      </c>
    </row>
    <row r="20">
      <c r="A20" s="3" t="inlineStr">
        <is>
          <t>F017</t>
        </is>
      </c>
      <c r="B20" s="3" t="inlineStr">
        <is>
          <t>Carrot</t>
        </is>
      </c>
      <c r="C20" s="4" t="n">
        <v>284.01</v>
      </c>
      <c r="D20" s="3" t="inlineStr">
        <is>
          <t>Manual</t>
        </is>
      </c>
      <c r="E20" s="4" t="n">
        <v>5.89</v>
      </c>
      <c r="F20" s="4" t="n">
        <v>0.8100000000000001</v>
      </c>
      <c r="G20" s="4" t="n">
        <v>47.7</v>
      </c>
      <c r="H20" s="3" t="inlineStr">
        <is>
          <t>Loamy</t>
        </is>
      </c>
      <c r="I20" s="3" t="inlineStr">
        <is>
          <t>Zaid</t>
        </is>
      </c>
      <c r="J20" s="4" t="n">
        <v>88301.46000000001</v>
      </c>
      <c r="K20" s="5">
        <f>E20/C20</f>
        <v/>
      </c>
      <c r="L20" s="5">
        <f>G20/C20</f>
        <v/>
      </c>
      <c r="M20" s="5">
        <f>IF(G20=0,0,J20/G20)</f>
        <v/>
      </c>
      <c r="N20" s="5">
        <f>IF(E20=0,0,ROUND((G20/E20)*10,2))</f>
        <v/>
      </c>
    </row>
    <row r="21">
      <c r="A21" s="3" t="inlineStr">
        <is>
          <t>F018</t>
        </is>
      </c>
      <c r="B21" s="3" t="inlineStr">
        <is>
          <t>Maize</t>
        </is>
      </c>
      <c r="C21" s="4" t="n">
        <v>128.23</v>
      </c>
      <c r="D21" s="3" t="inlineStr">
        <is>
          <t>Rain-fed</t>
        </is>
      </c>
      <c r="E21" s="4" t="n">
        <v>4.91</v>
      </c>
      <c r="F21" s="4" t="n">
        <v>0.77</v>
      </c>
      <c r="G21" s="4" t="n">
        <v>16.67</v>
      </c>
      <c r="H21" s="3" t="inlineStr">
        <is>
          <t>Loamy</t>
        </is>
      </c>
      <c r="I21" s="3" t="inlineStr">
        <is>
          <t>Rabi</t>
        </is>
      </c>
      <c r="J21" s="4" t="n">
        <v>18660.03</v>
      </c>
      <c r="K21" s="5">
        <f>E21/C21</f>
        <v/>
      </c>
      <c r="L21" s="5">
        <f>G21/C21</f>
        <v/>
      </c>
      <c r="M21" s="5">
        <f>IF(G21=0,0,J21/G21)</f>
        <v/>
      </c>
      <c r="N21" s="5">
        <f>IF(E21=0,0,ROUND((G21/E21)*10,2))</f>
        <v/>
      </c>
    </row>
    <row r="22">
      <c r="A22" s="3" t="inlineStr">
        <is>
          <t>F019</t>
        </is>
      </c>
      <c r="B22" s="3" t="inlineStr">
        <is>
          <t>Maize</t>
        </is>
      </c>
      <c r="C22" s="4" t="n">
        <v>460.93</v>
      </c>
      <c r="D22" s="3" t="inlineStr">
        <is>
          <t>Drip</t>
        </is>
      </c>
      <c r="E22" s="4" t="n">
        <v>1.09</v>
      </c>
      <c r="F22" s="4" t="n">
        <v>1.31</v>
      </c>
      <c r="G22" s="4" t="n">
        <v>39.96</v>
      </c>
      <c r="H22" s="3" t="inlineStr">
        <is>
          <t>Sandy</t>
        </is>
      </c>
      <c r="I22" s="3" t="inlineStr">
        <is>
          <t>Zaid</t>
        </is>
      </c>
      <c r="J22" s="4" t="n">
        <v>54314.28</v>
      </c>
      <c r="K22" s="5">
        <f>E22/C22</f>
        <v/>
      </c>
      <c r="L22" s="5">
        <f>G22/C22</f>
        <v/>
      </c>
      <c r="M22" s="5">
        <f>IF(G22=0,0,J22/G22)</f>
        <v/>
      </c>
      <c r="N22" s="5">
        <f>IF(E22=0,0,ROUND((G22/E22)*10,2))</f>
        <v/>
      </c>
    </row>
    <row r="23">
      <c r="A23" s="3" t="inlineStr">
        <is>
          <t>F020</t>
        </is>
      </c>
      <c r="B23" s="3" t="inlineStr">
        <is>
          <t>Barley</t>
        </is>
      </c>
      <c r="C23" s="4" t="n">
        <v>58.85</v>
      </c>
      <c r="D23" s="3" t="inlineStr">
        <is>
          <t>Sprinkler</t>
        </is>
      </c>
      <c r="E23" s="4" t="n">
        <v>3.61</v>
      </c>
      <c r="F23" s="4" t="n">
        <v>3.32</v>
      </c>
      <c r="G23" s="4" t="n">
        <v>18.85</v>
      </c>
      <c r="H23" s="3" t="inlineStr">
        <is>
          <t>Sandy</t>
        </is>
      </c>
      <c r="I23" s="3" t="inlineStr">
        <is>
          <t>Kharif</t>
        </is>
      </c>
      <c r="J23" s="4" t="n">
        <v>92481.89</v>
      </c>
      <c r="K23" s="5">
        <f>E23/C23</f>
        <v/>
      </c>
      <c r="L23" s="5">
        <f>G23/C23</f>
        <v/>
      </c>
      <c r="M23" s="5">
        <f>IF(G23=0,0,J23/G23)</f>
        <v/>
      </c>
      <c r="N23" s="5">
        <f>IF(E23=0,0,ROUND((G23/E23)*10,2))</f>
        <v/>
      </c>
    </row>
    <row r="24">
      <c r="A24" s="3" t="inlineStr">
        <is>
          <t>F021</t>
        </is>
      </c>
      <c r="B24" s="3" t="inlineStr">
        <is>
          <t>Cotton</t>
        </is>
      </c>
      <c r="C24" s="4" t="n">
        <v>377.05</v>
      </c>
      <c r="D24" s="3" t="inlineStr">
        <is>
          <t>Drip</t>
        </is>
      </c>
      <c r="E24" s="4" t="n">
        <v>5.95</v>
      </c>
      <c r="F24" s="4" t="n">
        <v>0.91</v>
      </c>
      <c r="G24" s="4" t="n">
        <v>29.17</v>
      </c>
      <c r="H24" s="3" t="inlineStr">
        <is>
          <t>Clay</t>
        </is>
      </c>
      <c r="I24" s="3" t="inlineStr">
        <is>
          <t>Rabi</t>
        </is>
      </c>
      <c r="J24" s="4" t="n">
        <v>26743.55</v>
      </c>
      <c r="K24" s="5">
        <f>E24/C24</f>
        <v/>
      </c>
      <c r="L24" s="5">
        <f>G24/C24</f>
        <v/>
      </c>
      <c r="M24" s="5">
        <f>IF(G24=0,0,J24/G24)</f>
        <v/>
      </c>
      <c r="N24" s="5">
        <f>IF(E24=0,0,ROUND((G24/E24)*10,2))</f>
        <v/>
      </c>
    </row>
    <row r="25">
      <c r="A25" s="3" t="inlineStr">
        <is>
          <t>F022</t>
        </is>
      </c>
      <c r="B25" s="3" t="inlineStr">
        <is>
          <t>Wheat</t>
        </is>
      </c>
      <c r="C25" s="4" t="n">
        <v>92.67</v>
      </c>
      <c r="D25" s="3" t="inlineStr">
        <is>
          <t>Flood</t>
        </is>
      </c>
      <c r="E25" s="4" t="n">
        <v>6.95</v>
      </c>
      <c r="F25" s="4" t="n">
        <v>3.64</v>
      </c>
      <c r="G25" s="4" t="n">
        <v>30.7</v>
      </c>
      <c r="H25" s="3" t="inlineStr">
        <is>
          <t>Clay</t>
        </is>
      </c>
      <c r="I25" s="3" t="inlineStr">
        <is>
          <t>Rabi</t>
        </is>
      </c>
      <c r="J25" s="4" t="n">
        <v>42874.34</v>
      </c>
      <c r="K25" s="5">
        <f>E25/C25</f>
        <v/>
      </c>
      <c r="L25" s="5">
        <f>G25/C25</f>
        <v/>
      </c>
      <c r="M25" s="5">
        <f>IF(G25=0,0,J25/G25)</f>
        <v/>
      </c>
      <c r="N25" s="5">
        <f>IF(E25=0,0,ROUND((G25/E25)*10,2))</f>
        <v/>
      </c>
    </row>
    <row r="26">
      <c r="A26" s="3" t="inlineStr">
        <is>
          <t>F023</t>
        </is>
      </c>
      <c r="B26" s="3" t="inlineStr">
        <is>
          <t>Potato</t>
        </is>
      </c>
      <c r="C26" s="4" t="n">
        <v>15.67</v>
      </c>
      <c r="D26" s="3" t="inlineStr">
        <is>
          <t>Drip</t>
        </is>
      </c>
      <c r="E26" s="4" t="n">
        <v>9.949999999999999</v>
      </c>
      <c r="F26" s="4" t="n">
        <v>2.99</v>
      </c>
      <c r="G26" s="4" t="n">
        <v>18.13</v>
      </c>
      <c r="H26" s="3" t="inlineStr">
        <is>
          <t>Loamy</t>
        </is>
      </c>
      <c r="I26" s="3" t="inlineStr">
        <is>
          <t>Zaid</t>
        </is>
      </c>
      <c r="J26" s="4" t="n">
        <v>41862.86</v>
      </c>
      <c r="K26" s="5">
        <f>E26/C26</f>
        <v/>
      </c>
      <c r="L26" s="5">
        <f>G26/C26</f>
        <v/>
      </c>
      <c r="M26" s="5">
        <f>IF(G26=0,0,J26/G26)</f>
        <v/>
      </c>
      <c r="N26" s="5">
        <f>IF(E26=0,0,ROUND((G26/E26)*10,2))</f>
        <v/>
      </c>
    </row>
    <row r="27">
      <c r="A27" s="3" t="inlineStr">
        <is>
          <t>F024</t>
        </is>
      </c>
      <c r="B27" s="3" t="inlineStr">
        <is>
          <t>Rice</t>
        </is>
      </c>
      <c r="C27" s="4" t="n">
        <v>483.88</v>
      </c>
      <c r="D27" s="3" t="inlineStr">
        <is>
          <t>Drip</t>
        </is>
      </c>
      <c r="E27" s="4" t="n">
        <v>6.31</v>
      </c>
      <c r="F27" s="4" t="n">
        <v>2.29</v>
      </c>
      <c r="G27" s="4" t="n">
        <v>34.46</v>
      </c>
      <c r="H27" s="3" t="inlineStr">
        <is>
          <t>Clay</t>
        </is>
      </c>
      <c r="I27" s="3" t="inlineStr">
        <is>
          <t>Zaid</t>
        </is>
      </c>
      <c r="J27" s="4" t="n">
        <v>61383.07</v>
      </c>
      <c r="K27" s="5">
        <f>E27/C27</f>
        <v/>
      </c>
      <c r="L27" s="5">
        <f>G27/C27</f>
        <v/>
      </c>
      <c r="M27" s="5">
        <f>IF(G27=0,0,J27/G27)</f>
        <v/>
      </c>
      <c r="N27" s="5">
        <f>IF(E27=0,0,ROUND((G27/E27)*10,2))</f>
        <v/>
      </c>
    </row>
    <row r="28">
      <c r="A28" s="3" t="inlineStr">
        <is>
          <t>F025</t>
        </is>
      </c>
      <c r="B28" s="3" t="inlineStr">
        <is>
          <t>Barley</t>
        </is>
      </c>
      <c r="C28" s="4" t="n">
        <v>75.64</v>
      </c>
      <c r="D28" s="3" t="inlineStr">
        <is>
          <t>Flood</t>
        </is>
      </c>
      <c r="E28" s="4" t="n">
        <v>6.69</v>
      </c>
      <c r="F28" s="4" t="n">
        <v>3.57</v>
      </c>
      <c r="G28" s="4" t="n">
        <v>6.14</v>
      </c>
      <c r="H28" s="3" t="inlineStr">
        <is>
          <t>Silty</t>
        </is>
      </c>
      <c r="I28" s="3" t="inlineStr">
        <is>
          <t>Zaid</t>
        </is>
      </c>
      <c r="J28" s="4" t="n">
        <v>43847.82</v>
      </c>
      <c r="K28" s="5">
        <f>E28/C28</f>
        <v/>
      </c>
      <c r="L28" s="5">
        <f>G28/C28</f>
        <v/>
      </c>
      <c r="M28" s="5">
        <f>IF(G28=0,0,J28/G28)</f>
        <v/>
      </c>
      <c r="N28" s="5">
        <f>IF(E28=0,0,ROUND((G28/E28)*10,2))</f>
        <v/>
      </c>
    </row>
    <row r="29">
      <c r="A29" s="3" t="inlineStr">
        <is>
          <t>F026</t>
        </is>
      </c>
      <c r="B29" s="3" t="inlineStr">
        <is>
          <t>Wheat</t>
        </is>
      </c>
      <c r="C29" s="4" t="n">
        <v>162.28</v>
      </c>
      <c r="D29" s="3" t="inlineStr">
        <is>
          <t>Flood</t>
        </is>
      </c>
      <c r="E29" s="4" t="n">
        <v>5.85</v>
      </c>
      <c r="F29" s="4" t="n">
        <v>2.42</v>
      </c>
      <c r="G29" s="4" t="n">
        <v>24.63</v>
      </c>
      <c r="H29" s="3" t="inlineStr">
        <is>
          <t>Loamy</t>
        </is>
      </c>
      <c r="I29" s="3" t="inlineStr">
        <is>
          <t>Rabi</t>
        </is>
      </c>
      <c r="J29" s="4" t="n">
        <v>65838.39999999999</v>
      </c>
      <c r="K29" s="5">
        <f>E29/C29</f>
        <v/>
      </c>
      <c r="L29" s="5">
        <f>G29/C29</f>
        <v/>
      </c>
      <c r="M29" s="5">
        <f>IF(G29=0,0,J29/G29)</f>
        <v/>
      </c>
      <c r="N29" s="5">
        <f>IF(E29=0,0,ROUND((G29/E29)*10,2))</f>
        <v/>
      </c>
    </row>
    <row r="30">
      <c r="A30" s="3" t="inlineStr">
        <is>
          <t>F027</t>
        </is>
      </c>
      <c r="B30" s="3" t="inlineStr">
        <is>
          <t>Cotton</t>
        </is>
      </c>
      <c r="C30" s="4" t="n">
        <v>375.1</v>
      </c>
      <c r="D30" s="3" t="inlineStr">
        <is>
          <t>Rain-fed</t>
        </is>
      </c>
      <c r="E30" s="4" t="n">
        <v>0.5</v>
      </c>
      <c r="F30" s="4" t="n">
        <v>4.76</v>
      </c>
      <c r="G30" s="4" t="n">
        <v>22.51</v>
      </c>
      <c r="H30" s="3" t="inlineStr">
        <is>
          <t>Clay</t>
        </is>
      </c>
      <c r="I30" s="3" t="inlineStr">
        <is>
          <t>Kharif</t>
        </is>
      </c>
      <c r="J30" s="4" t="n">
        <v>39362.44</v>
      </c>
      <c r="K30" s="5">
        <f>E30/C30</f>
        <v/>
      </c>
      <c r="L30" s="5">
        <f>G30/C30</f>
        <v/>
      </c>
      <c r="M30" s="5">
        <f>IF(G30=0,0,J30/G30)</f>
        <v/>
      </c>
      <c r="N30" s="5">
        <f>IF(E30=0,0,ROUND((G30/E30)*10,2))</f>
        <v/>
      </c>
    </row>
    <row r="31">
      <c r="A31" s="3" t="inlineStr">
        <is>
          <t>F028</t>
        </is>
      </c>
      <c r="B31" s="3" t="inlineStr">
        <is>
          <t>Tomato</t>
        </is>
      </c>
      <c r="C31" s="4" t="n">
        <v>256.19</v>
      </c>
      <c r="D31" s="3" t="inlineStr">
        <is>
          <t>Flood</t>
        </is>
      </c>
      <c r="E31" s="4" t="n">
        <v>7.32</v>
      </c>
      <c r="F31" s="4" t="n">
        <v>2.19</v>
      </c>
      <c r="G31" s="4" t="n">
        <v>48.02</v>
      </c>
      <c r="H31" s="3" t="inlineStr">
        <is>
          <t>Silty</t>
        </is>
      </c>
      <c r="I31" s="3" t="inlineStr">
        <is>
          <t>Rabi</t>
        </is>
      </c>
      <c r="J31" s="4" t="n">
        <v>81313.03999999999</v>
      </c>
      <c r="K31" s="5">
        <f>E31/C31</f>
        <v/>
      </c>
      <c r="L31" s="5">
        <f>G31/C31</f>
        <v/>
      </c>
      <c r="M31" s="5">
        <f>IF(G31=0,0,J31/G31)</f>
        <v/>
      </c>
      <c r="N31" s="5">
        <f>IF(E31=0,0,ROUND((G31/E31)*10,2))</f>
        <v/>
      </c>
    </row>
    <row r="32">
      <c r="A32" s="3" t="inlineStr">
        <is>
          <t>F029</t>
        </is>
      </c>
      <c r="B32" s="3" t="inlineStr">
        <is>
          <t>Wheat</t>
        </is>
      </c>
      <c r="C32" s="4" t="n">
        <v>288.52</v>
      </c>
      <c r="D32" s="3" t="inlineStr">
        <is>
          <t>Manual</t>
        </is>
      </c>
      <c r="E32" s="4" t="n">
        <v>1.79</v>
      </c>
      <c r="F32" s="4" t="n">
        <v>4.78</v>
      </c>
      <c r="G32" s="4" t="n">
        <v>36.9</v>
      </c>
      <c r="H32" s="3" t="inlineStr">
        <is>
          <t>Silty</t>
        </is>
      </c>
      <c r="I32" s="3" t="inlineStr">
        <is>
          <t>Zaid</t>
        </is>
      </c>
      <c r="J32" s="4" t="n">
        <v>23208.04</v>
      </c>
      <c r="K32" s="5">
        <f>E32/C32</f>
        <v/>
      </c>
      <c r="L32" s="5">
        <f>G32/C32</f>
        <v/>
      </c>
      <c r="M32" s="5">
        <f>IF(G32=0,0,J32/G32)</f>
        <v/>
      </c>
      <c r="N32" s="5">
        <f>IF(E32=0,0,ROUND((G32/E32)*10,2))</f>
        <v/>
      </c>
    </row>
    <row r="33">
      <c r="A33" s="3" t="inlineStr">
        <is>
          <t>F030</t>
        </is>
      </c>
      <c r="B33" s="3" t="inlineStr">
        <is>
          <t>Potato</t>
        </is>
      </c>
      <c r="C33" s="4" t="n">
        <v>286.52</v>
      </c>
      <c r="D33" s="3" t="inlineStr">
        <is>
          <t>Rain-fed</t>
        </is>
      </c>
      <c r="E33" s="4" t="n">
        <v>8.91</v>
      </c>
      <c r="F33" s="4" t="n">
        <v>0.77</v>
      </c>
      <c r="G33" s="4" t="n">
        <v>30.5</v>
      </c>
      <c r="H33" s="3" t="inlineStr">
        <is>
          <t>Loamy</t>
        </is>
      </c>
      <c r="I33" s="3" t="inlineStr">
        <is>
          <t>Zaid</t>
        </is>
      </c>
      <c r="J33" s="4" t="n">
        <v>93407.38</v>
      </c>
      <c r="K33" s="5">
        <f>E33/C33</f>
        <v/>
      </c>
      <c r="L33" s="5">
        <f>G33/C33</f>
        <v/>
      </c>
      <c r="M33" s="5">
        <f>IF(G33=0,0,J33/G33)</f>
        <v/>
      </c>
      <c r="N33" s="5">
        <f>IF(E33=0,0,ROUND((G33/E33)*10,2))</f>
        <v/>
      </c>
    </row>
    <row r="34">
      <c r="A34" s="3" t="inlineStr">
        <is>
          <t>F031</t>
        </is>
      </c>
      <c r="B34" s="3" t="inlineStr">
        <is>
          <t>Barley</t>
        </is>
      </c>
      <c r="C34" s="4" t="n">
        <v>136.16</v>
      </c>
      <c r="D34" s="3" t="inlineStr">
        <is>
          <t>Flood</t>
        </is>
      </c>
      <c r="E34" s="4" t="n">
        <v>5.89</v>
      </c>
      <c r="F34" s="4" t="n">
        <v>1.36</v>
      </c>
      <c r="G34" s="4" t="n">
        <v>11.86</v>
      </c>
      <c r="H34" s="3" t="inlineStr">
        <is>
          <t>Clay</t>
        </is>
      </c>
      <c r="I34" s="3" t="inlineStr">
        <is>
          <t>Zaid</t>
        </is>
      </c>
      <c r="J34" s="4" t="n">
        <v>30098.35</v>
      </c>
      <c r="K34" s="5">
        <f>E34/C34</f>
        <v/>
      </c>
      <c r="L34" s="5">
        <f>G34/C34</f>
        <v/>
      </c>
      <c r="M34" s="5">
        <f>IF(G34=0,0,J34/G34)</f>
        <v/>
      </c>
      <c r="N34" s="5">
        <f>IF(E34=0,0,ROUND((G34/E34)*10,2))</f>
        <v/>
      </c>
    </row>
    <row r="35">
      <c r="A35" s="3" t="inlineStr">
        <is>
          <t>F032</t>
        </is>
      </c>
      <c r="B35" s="3" t="inlineStr">
        <is>
          <t>Carrot</t>
        </is>
      </c>
      <c r="C35" s="4" t="n">
        <v>350.42</v>
      </c>
      <c r="D35" s="3" t="inlineStr">
        <is>
          <t>Flood</t>
        </is>
      </c>
      <c r="E35" s="4" t="n">
        <v>8.4</v>
      </c>
      <c r="F35" s="4" t="n">
        <v>2.94</v>
      </c>
      <c r="G35" s="4" t="n">
        <v>24.34</v>
      </c>
      <c r="H35" s="3" t="inlineStr">
        <is>
          <t>Clay</t>
        </is>
      </c>
      <c r="I35" s="3" t="inlineStr">
        <is>
          <t>Rabi</t>
        </is>
      </c>
      <c r="J35" s="4" t="n">
        <v>71580.87</v>
      </c>
      <c r="K35" s="5">
        <f>E35/C35</f>
        <v/>
      </c>
      <c r="L35" s="5">
        <f>G35/C35</f>
        <v/>
      </c>
      <c r="M35" s="5">
        <f>IF(G35=0,0,J35/G35)</f>
        <v/>
      </c>
      <c r="N35" s="5">
        <f>IF(E35=0,0,ROUND((G35/E35)*10,2))</f>
        <v/>
      </c>
    </row>
    <row r="36">
      <c r="A36" s="3" t="inlineStr">
        <is>
          <t>F033</t>
        </is>
      </c>
      <c r="B36" s="3" t="inlineStr">
        <is>
          <t>Barley</t>
        </is>
      </c>
      <c r="C36" s="4" t="n">
        <v>446.76</v>
      </c>
      <c r="D36" s="3" t="inlineStr">
        <is>
          <t>Drip</t>
        </is>
      </c>
      <c r="E36" s="4" t="n">
        <v>7.79</v>
      </c>
      <c r="F36" s="4" t="n">
        <v>0.96</v>
      </c>
      <c r="G36" s="4" t="n">
        <v>46.47</v>
      </c>
      <c r="H36" s="3" t="inlineStr">
        <is>
          <t>Loamy</t>
        </is>
      </c>
      <c r="I36" s="3" t="inlineStr">
        <is>
          <t>Zaid</t>
        </is>
      </c>
      <c r="J36" s="4" t="n">
        <v>93656.06</v>
      </c>
      <c r="K36" s="5">
        <f>E36/C36</f>
        <v/>
      </c>
      <c r="L36" s="5">
        <f>G36/C36</f>
        <v/>
      </c>
      <c r="M36" s="5">
        <f>IF(G36=0,0,J36/G36)</f>
        <v/>
      </c>
      <c r="N36" s="5">
        <f>IF(E36=0,0,ROUND((G36/E36)*10,2))</f>
        <v/>
      </c>
    </row>
    <row r="37">
      <c r="A37" s="3" t="inlineStr">
        <is>
          <t>F034</t>
        </is>
      </c>
      <c r="B37" s="3" t="inlineStr">
        <is>
          <t>Tomato</t>
        </is>
      </c>
      <c r="C37" s="4" t="n">
        <v>264.12</v>
      </c>
      <c r="D37" s="3" t="inlineStr">
        <is>
          <t>Drip</t>
        </is>
      </c>
      <c r="E37" s="4" t="n">
        <v>4.75</v>
      </c>
      <c r="F37" s="4" t="n">
        <v>4.79</v>
      </c>
      <c r="G37" s="4" t="n">
        <v>12.92</v>
      </c>
      <c r="H37" s="3" t="inlineStr">
        <is>
          <t>Loamy</t>
        </is>
      </c>
      <c r="I37" s="3" t="inlineStr">
        <is>
          <t>Rabi</t>
        </is>
      </c>
      <c r="J37" s="4" t="n">
        <v>92745.00999999999</v>
      </c>
      <c r="K37" s="5">
        <f>E37/C37</f>
        <v/>
      </c>
      <c r="L37" s="5">
        <f>G37/C37</f>
        <v/>
      </c>
      <c r="M37" s="5">
        <f>IF(G37=0,0,J37/G37)</f>
        <v/>
      </c>
      <c r="N37" s="5">
        <f>IF(E37=0,0,ROUND((G37/E37)*10,2))</f>
        <v/>
      </c>
    </row>
    <row r="38">
      <c r="A38" s="3" t="inlineStr">
        <is>
          <t>F035</t>
        </is>
      </c>
      <c r="B38" s="3" t="inlineStr">
        <is>
          <t>Soybean</t>
        </is>
      </c>
      <c r="C38" s="4" t="n">
        <v>266.03</v>
      </c>
      <c r="D38" s="3" t="inlineStr">
        <is>
          <t>Drip</t>
        </is>
      </c>
      <c r="E38" s="4" t="n">
        <v>8.57</v>
      </c>
      <c r="F38" s="4" t="n">
        <v>1.35</v>
      </c>
      <c r="G38" s="4" t="n">
        <v>34.45</v>
      </c>
      <c r="H38" s="3" t="inlineStr">
        <is>
          <t>Silty</t>
        </is>
      </c>
      <c r="I38" s="3" t="inlineStr">
        <is>
          <t>Zaid</t>
        </is>
      </c>
      <c r="J38" s="4" t="n">
        <v>43610.21</v>
      </c>
      <c r="K38" s="5">
        <f>E38/C38</f>
        <v/>
      </c>
      <c r="L38" s="5">
        <f>G38/C38</f>
        <v/>
      </c>
      <c r="M38" s="5">
        <f>IF(G38=0,0,J38/G38)</f>
        <v/>
      </c>
      <c r="N38" s="5">
        <f>IF(E38=0,0,ROUND((G38/E38)*10,2))</f>
        <v/>
      </c>
    </row>
    <row r="39">
      <c r="A39" s="3" t="inlineStr">
        <is>
          <t>F036</t>
        </is>
      </c>
      <c r="B39" s="3" t="inlineStr">
        <is>
          <t>Cotton</t>
        </is>
      </c>
      <c r="C39" s="4" t="n">
        <v>446.16</v>
      </c>
      <c r="D39" s="3" t="inlineStr">
        <is>
          <t>Manual</t>
        </is>
      </c>
      <c r="E39" s="4" t="n">
        <v>4.35</v>
      </c>
      <c r="F39" s="4" t="n">
        <v>3.47</v>
      </c>
      <c r="G39" s="4" t="n">
        <v>12.53</v>
      </c>
      <c r="H39" s="3" t="inlineStr">
        <is>
          <t>Loamy</t>
        </is>
      </c>
      <c r="I39" s="3" t="inlineStr">
        <is>
          <t>Zaid</t>
        </is>
      </c>
      <c r="J39" s="4" t="n">
        <v>38874.28</v>
      </c>
      <c r="K39" s="5">
        <f>E39/C39</f>
        <v/>
      </c>
      <c r="L39" s="5">
        <f>G39/C39</f>
        <v/>
      </c>
      <c r="M39" s="5">
        <f>IF(G39=0,0,J39/G39)</f>
        <v/>
      </c>
      <c r="N39" s="5">
        <f>IF(E39=0,0,ROUND((G39/E39)*10,2))</f>
        <v/>
      </c>
    </row>
    <row r="40">
      <c r="A40" s="3" t="inlineStr">
        <is>
          <t>F037</t>
        </is>
      </c>
      <c r="B40" s="3" t="inlineStr">
        <is>
          <t>Soybean</t>
        </is>
      </c>
      <c r="C40" s="4" t="n">
        <v>156.1</v>
      </c>
      <c r="D40" s="3" t="inlineStr">
        <is>
          <t>Manual</t>
        </is>
      </c>
      <c r="E40" s="4" t="n">
        <v>1.18</v>
      </c>
      <c r="F40" s="4" t="n">
        <v>4.43</v>
      </c>
      <c r="G40" s="4" t="n">
        <v>40.15</v>
      </c>
      <c r="H40" s="3" t="inlineStr">
        <is>
          <t>Loamy</t>
        </is>
      </c>
      <c r="I40" s="3" t="inlineStr">
        <is>
          <t>Zaid</t>
        </is>
      </c>
      <c r="J40" s="4" t="n">
        <v>73646.55</v>
      </c>
      <c r="K40" s="5">
        <f>E40/C40</f>
        <v/>
      </c>
      <c r="L40" s="5">
        <f>G40/C40</f>
        <v/>
      </c>
      <c r="M40" s="5">
        <f>IF(G40=0,0,J40/G40)</f>
        <v/>
      </c>
      <c r="N40" s="5">
        <f>IF(E40=0,0,ROUND((G40/E40)*10,2))</f>
        <v/>
      </c>
    </row>
    <row r="41">
      <c r="A41" s="3" t="inlineStr">
        <is>
          <t>F038</t>
        </is>
      </c>
      <c r="B41" s="3" t="inlineStr">
        <is>
          <t>Barley</t>
        </is>
      </c>
      <c r="C41" s="4" t="n">
        <v>431.22</v>
      </c>
      <c r="D41" s="3" t="inlineStr">
        <is>
          <t>Drip</t>
        </is>
      </c>
      <c r="E41" s="4" t="n">
        <v>5.71</v>
      </c>
      <c r="F41" s="4" t="n">
        <v>3.18</v>
      </c>
      <c r="G41" s="4" t="n">
        <v>45.95</v>
      </c>
      <c r="H41" s="3" t="inlineStr">
        <is>
          <t>Silty</t>
        </is>
      </c>
      <c r="I41" s="3" t="inlineStr">
        <is>
          <t>Kharif</t>
        </is>
      </c>
      <c r="J41" s="4" t="n">
        <v>36065.94</v>
      </c>
      <c r="K41" s="5">
        <f>E41/C41</f>
        <v/>
      </c>
      <c r="L41" s="5">
        <f>G41/C41</f>
        <v/>
      </c>
      <c r="M41" s="5">
        <f>IF(G41=0,0,J41/G41)</f>
        <v/>
      </c>
      <c r="N41" s="5">
        <f>IF(E41=0,0,ROUND((G41/E41)*10,2))</f>
        <v/>
      </c>
    </row>
    <row r="42">
      <c r="A42" s="3" t="inlineStr">
        <is>
          <t>F039</t>
        </is>
      </c>
      <c r="B42" s="3" t="inlineStr">
        <is>
          <t>Cotton</t>
        </is>
      </c>
      <c r="C42" s="4" t="n">
        <v>220.48</v>
      </c>
      <c r="D42" s="3" t="inlineStr">
        <is>
          <t>Flood</t>
        </is>
      </c>
      <c r="E42" s="4" t="n">
        <v>9.960000000000001</v>
      </c>
      <c r="F42" s="4" t="n">
        <v>2.91</v>
      </c>
      <c r="G42" s="4" t="n">
        <v>10.53</v>
      </c>
      <c r="H42" s="3" t="inlineStr">
        <is>
          <t>Clay</t>
        </is>
      </c>
      <c r="I42" s="3" t="inlineStr">
        <is>
          <t>Zaid</t>
        </is>
      </c>
      <c r="J42" s="4" t="n">
        <v>82549.03</v>
      </c>
      <c r="K42" s="5">
        <f>E42/C42</f>
        <v/>
      </c>
      <c r="L42" s="5">
        <f>G42/C42</f>
        <v/>
      </c>
      <c r="M42" s="5">
        <f>IF(G42=0,0,J42/G42)</f>
        <v/>
      </c>
      <c r="N42" s="5">
        <f>IF(E42=0,0,ROUND((G42/E42)*10,2))</f>
        <v/>
      </c>
    </row>
    <row r="43">
      <c r="A43" s="3" t="inlineStr">
        <is>
          <t>F040</t>
        </is>
      </c>
      <c r="B43" s="3" t="inlineStr">
        <is>
          <t>Cotton</t>
        </is>
      </c>
      <c r="C43" s="4" t="n">
        <v>166.82</v>
      </c>
      <c r="D43" s="3" t="inlineStr">
        <is>
          <t>Rain-fed</t>
        </is>
      </c>
      <c r="E43" s="4" t="n">
        <v>2.85</v>
      </c>
      <c r="F43" s="4" t="n">
        <v>1.36</v>
      </c>
      <c r="G43" s="4" t="n">
        <v>46.19</v>
      </c>
      <c r="H43" s="3" t="inlineStr">
        <is>
          <t>Sandy</t>
        </is>
      </c>
      <c r="I43" s="3" t="inlineStr">
        <is>
          <t>Zaid</t>
        </is>
      </c>
      <c r="J43" s="4" t="n">
        <v>12007.7</v>
      </c>
      <c r="K43" s="5">
        <f>E43/C43</f>
        <v/>
      </c>
      <c r="L43" s="5">
        <f>G43/C43</f>
        <v/>
      </c>
      <c r="M43" s="5">
        <f>IF(G43=0,0,J43/G43)</f>
        <v/>
      </c>
      <c r="N43" s="5">
        <f>IF(E43=0,0,ROUND((G43/E43)*10,2))</f>
        <v/>
      </c>
    </row>
    <row r="44">
      <c r="A44" s="3" t="inlineStr">
        <is>
          <t>F041</t>
        </is>
      </c>
      <c r="B44" s="3" t="inlineStr">
        <is>
          <t>Rice</t>
        </is>
      </c>
      <c r="C44" s="4" t="n">
        <v>370.79</v>
      </c>
      <c r="D44" s="3" t="inlineStr">
        <is>
          <t>Flood</t>
        </is>
      </c>
      <c r="E44" s="4" t="n">
        <v>8.18</v>
      </c>
      <c r="F44" s="4" t="n">
        <v>4.99</v>
      </c>
      <c r="G44" s="4" t="n">
        <v>35.01</v>
      </c>
      <c r="H44" s="3" t="inlineStr">
        <is>
          <t>Sandy</t>
        </is>
      </c>
      <c r="I44" s="3" t="inlineStr">
        <is>
          <t>Kharif</t>
        </is>
      </c>
      <c r="J44" s="4" t="n">
        <v>85208.71000000001</v>
      </c>
      <c r="K44" s="5">
        <f>E44/C44</f>
        <v/>
      </c>
      <c r="L44" s="5">
        <f>G44/C44</f>
        <v/>
      </c>
      <c r="M44" s="5">
        <f>IF(G44=0,0,J44/G44)</f>
        <v/>
      </c>
      <c r="N44" s="5">
        <f>IF(E44=0,0,ROUND((G44/E44)*10,2))</f>
        <v/>
      </c>
    </row>
    <row r="45">
      <c r="A45" s="3" t="inlineStr">
        <is>
          <t>F042</t>
        </is>
      </c>
      <c r="B45" s="3" t="inlineStr">
        <is>
          <t>Sugarcane</t>
        </is>
      </c>
      <c r="C45" s="4" t="n">
        <v>418.99</v>
      </c>
      <c r="D45" s="3" t="inlineStr">
        <is>
          <t>Sprinkler</t>
        </is>
      </c>
      <c r="E45" s="4" t="n">
        <v>0.78</v>
      </c>
      <c r="F45" s="4" t="n">
        <v>0.58</v>
      </c>
      <c r="G45" s="4" t="n">
        <v>26.29</v>
      </c>
      <c r="H45" s="3" t="inlineStr">
        <is>
          <t>Clay</t>
        </is>
      </c>
      <c r="I45" s="3" t="inlineStr">
        <is>
          <t>Zaid</t>
        </is>
      </c>
      <c r="J45" s="4" t="n">
        <v>33705.69</v>
      </c>
      <c r="K45" s="5">
        <f>E45/C45</f>
        <v/>
      </c>
      <c r="L45" s="5">
        <f>G45/C45</f>
        <v/>
      </c>
      <c r="M45" s="5">
        <f>IF(G45=0,0,J45/G45)</f>
        <v/>
      </c>
      <c r="N45" s="5">
        <f>IF(E45=0,0,ROUND((G45/E45)*10,2))</f>
        <v/>
      </c>
    </row>
    <row r="46">
      <c r="A46" s="3" t="inlineStr">
        <is>
          <t>F043</t>
        </is>
      </c>
      <c r="B46" s="3" t="inlineStr">
        <is>
          <t>Cotton</t>
        </is>
      </c>
      <c r="C46" s="4" t="n">
        <v>78.79000000000001</v>
      </c>
      <c r="D46" s="3" t="inlineStr">
        <is>
          <t>Flood</t>
        </is>
      </c>
      <c r="E46" s="4" t="n">
        <v>1.35</v>
      </c>
      <c r="F46" s="4" t="n">
        <v>3</v>
      </c>
      <c r="G46" s="4" t="n">
        <v>11.45</v>
      </c>
      <c r="H46" s="3" t="inlineStr">
        <is>
          <t>Sandy</t>
        </is>
      </c>
      <c r="I46" s="3" t="inlineStr">
        <is>
          <t>Zaid</t>
        </is>
      </c>
      <c r="J46" s="4" t="n">
        <v>94754.73</v>
      </c>
      <c r="K46" s="5">
        <f>E46/C46</f>
        <v/>
      </c>
      <c r="L46" s="5">
        <f>G46/C46</f>
        <v/>
      </c>
      <c r="M46" s="5">
        <f>IF(G46=0,0,J46/G46)</f>
        <v/>
      </c>
      <c r="N46" s="5">
        <f>IF(E46=0,0,ROUND((G46/E46)*10,2))</f>
        <v/>
      </c>
    </row>
    <row r="47">
      <c r="A47" s="3" t="inlineStr">
        <is>
          <t>F044</t>
        </is>
      </c>
      <c r="B47" s="3" t="inlineStr">
        <is>
          <t>Soybean</t>
        </is>
      </c>
      <c r="C47" s="4" t="n">
        <v>84.12</v>
      </c>
      <c r="D47" s="3" t="inlineStr">
        <is>
          <t>Manual</t>
        </is>
      </c>
      <c r="E47" s="4" t="n">
        <v>4.64</v>
      </c>
      <c r="F47" s="4" t="n">
        <v>2.53</v>
      </c>
      <c r="G47" s="4" t="n">
        <v>24.77</v>
      </c>
      <c r="H47" s="3" t="inlineStr">
        <is>
          <t>Sandy</t>
        </is>
      </c>
      <c r="I47" s="3" t="inlineStr">
        <is>
          <t>Rabi</t>
        </is>
      </c>
      <c r="J47" s="4" t="n">
        <v>40614.4</v>
      </c>
      <c r="K47" s="5">
        <f>E47/C47</f>
        <v/>
      </c>
      <c r="L47" s="5">
        <f>G47/C47</f>
        <v/>
      </c>
      <c r="M47" s="5">
        <f>IF(G47=0,0,J47/G47)</f>
        <v/>
      </c>
      <c r="N47" s="5">
        <f>IF(E47=0,0,ROUND((G47/E47)*10,2))</f>
        <v/>
      </c>
    </row>
    <row r="48">
      <c r="A48" s="3" t="inlineStr">
        <is>
          <t>F045</t>
        </is>
      </c>
      <c r="B48" s="3" t="inlineStr">
        <is>
          <t>Tomato</t>
        </is>
      </c>
      <c r="C48" s="4" t="n">
        <v>326.69</v>
      </c>
      <c r="D48" s="3" t="inlineStr">
        <is>
          <t>Sprinkler</t>
        </is>
      </c>
      <c r="E48" s="4" t="n">
        <v>5.24</v>
      </c>
      <c r="F48" s="4" t="n">
        <v>0.55</v>
      </c>
      <c r="G48" s="4" t="n">
        <v>18.34</v>
      </c>
      <c r="H48" s="3" t="inlineStr">
        <is>
          <t>Peaty</t>
        </is>
      </c>
      <c r="I48" s="3" t="inlineStr">
        <is>
          <t>Kharif</t>
        </is>
      </c>
      <c r="J48" s="4" t="n">
        <v>37466.11</v>
      </c>
      <c r="K48" s="5">
        <f>E48/C48</f>
        <v/>
      </c>
      <c r="L48" s="5">
        <f>G48/C48</f>
        <v/>
      </c>
      <c r="M48" s="5">
        <f>IF(G48=0,0,J48/G48)</f>
        <v/>
      </c>
      <c r="N48" s="5">
        <f>IF(E48=0,0,ROUND((G48/E48)*10,2))</f>
        <v/>
      </c>
    </row>
    <row r="49">
      <c r="A49" s="3" t="inlineStr">
        <is>
          <t>F046</t>
        </is>
      </c>
      <c r="B49" s="3" t="inlineStr">
        <is>
          <t>Carrot</t>
        </is>
      </c>
      <c r="C49" s="4" t="n">
        <v>112.8</v>
      </c>
      <c r="D49" s="3" t="inlineStr">
        <is>
          <t>Sprinkler</t>
        </is>
      </c>
      <c r="E49" s="4" t="n">
        <v>1.8</v>
      </c>
      <c r="F49" s="4" t="n">
        <v>1.01</v>
      </c>
      <c r="G49" s="4" t="n">
        <v>31.57</v>
      </c>
      <c r="H49" s="3" t="inlineStr">
        <is>
          <t>Clay</t>
        </is>
      </c>
      <c r="I49" s="3" t="inlineStr">
        <is>
          <t>Kharif</t>
        </is>
      </c>
      <c r="J49" s="4" t="n">
        <v>79966.10000000001</v>
      </c>
      <c r="K49" s="5">
        <f>E49/C49</f>
        <v/>
      </c>
      <c r="L49" s="5">
        <f>G49/C49</f>
        <v/>
      </c>
      <c r="M49" s="5">
        <f>IF(G49=0,0,J49/G49)</f>
        <v/>
      </c>
      <c r="N49" s="5">
        <f>IF(E49=0,0,ROUND((G49/E49)*10,2))</f>
        <v/>
      </c>
    </row>
    <row r="50">
      <c r="A50" s="3" t="inlineStr">
        <is>
          <t>F047</t>
        </is>
      </c>
      <c r="B50" s="3" t="inlineStr">
        <is>
          <t>Potato</t>
        </is>
      </c>
      <c r="C50" s="4" t="n">
        <v>347.66</v>
      </c>
      <c r="D50" s="3" t="inlineStr">
        <is>
          <t>Drip</t>
        </is>
      </c>
      <c r="E50" s="4" t="n">
        <v>3.86</v>
      </c>
      <c r="F50" s="4" t="n">
        <v>2.68</v>
      </c>
      <c r="G50" s="4" t="n">
        <v>31.47</v>
      </c>
      <c r="H50" s="3" t="inlineStr">
        <is>
          <t>Sandy</t>
        </is>
      </c>
      <c r="I50" s="3" t="inlineStr">
        <is>
          <t>Kharif</t>
        </is>
      </c>
      <c r="J50" s="4" t="n">
        <v>86989.88</v>
      </c>
      <c r="K50" s="5">
        <f>E50/C50</f>
        <v/>
      </c>
      <c r="L50" s="5">
        <f>G50/C50</f>
        <v/>
      </c>
      <c r="M50" s="5">
        <f>IF(G50=0,0,J50/G50)</f>
        <v/>
      </c>
      <c r="N50" s="5">
        <f>IF(E50=0,0,ROUND((G50/E50)*10,2))</f>
        <v/>
      </c>
    </row>
    <row r="51">
      <c r="A51" s="3" t="inlineStr">
        <is>
          <t>F048</t>
        </is>
      </c>
      <c r="B51" s="3" t="inlineStr">
        <is>
          <t>Potato</t>
        </is>
      </c>
      <c r="C51" s="4" t="n">
        <v>77.39</v>
      </c>
      <c r="D51" s="3" t="inlineStr">
        <is>
          <t>Sprinkler</t>
        </is>
      </c>
      <c r="E51" s="4" t="n">
        <v>9.34</v>
      </c>
      <c r="F51" s="4" t="n">
        <v>3</v>
      </c>
      <c r="G51" s="4" t="n">
        <v>20.53</v>
      </c>
      <c r="H51" s="3" t="inlineStr">
        <is>
          <t>Silty</t>
        </is>
      </c>
      <c r="I51" s="3" t="inlineStr">
        <is>
          <t>Zaid</t>
        </is>
      </c>
      <c r="J51" s="4" t="n">
        <v>5874.17</v>
      </c>
      <c r="K51" s="5">
        <f>E51/C51</f>
        <v/>
      </c>
      <c r="L51" s="5">
        <f>G51/C51</f>
        <v/>
      </c>
      <c r="M51" s="5">
        <f>IF(G51=0,0,J51/G51)</f>
        <v/>
      </c>
      <c r="N51" s="5">
        <f>IF(E51=0,0,ROUND((G51/E51)*10,2))</f>
        <v/>
      </c>
    </row>
    <row r="52">
      <c r="A52" s="3" t="inlineStr">
        <is>
          <t>F049</t>
        </is>
      </c>
      <c r="B52" s="3" t="inlineStr">
        <is>
          <t>Barley</t>
        </is>
      </c>
      <c r="C52" s="4" t="n">
        <v>462.37</v>
      </c>
      <c r="D52" s="3" t="inlineStr">
        <is>
          <t>Sprinkler</t>
        </is>
      </c>
      <c r="E52" s="4" t="n">
        <v>2.3</v>
      </c>
      <c r="F52" s="4" t="n">
        <v>0.14</v>
      </c>
      <c r="G52" s="4" t="n">
        <v>39.51</v>
      </c>
      <c r="H52" s="3" t="inlineStr">
        <is>
          <t>Clay</t>
        </is>
      </c>
      <c r="I52" s="3" t="inlineStr">
        <is>
          <t>Kharif</t>
        </is>
      </c>
      <c r="J52" s="4" t="n">
        <v>53879.87</v>
      </c>
      <c r="K52" s="5">
        <f>E52/C52</f>
        <v/>
      </c>
      <c r="L52" s="5">
        <f>G52/C52</f>
        <v/>
      </c>
      <c r="M52" s="5">
        <f>IF(G52=0,0,J52/G52)</f>
        <v/>
      </c>
      <c r="N52" s="5">
        <f>IF(E52=0,0,ROUND((G52/E52)*10,2))</f>
        <v/>
      </c>
    </row>
    <row r="53">
      <c r="A53" s="3" t="inlineStr">
        <is>
          <t>F050</t>
        </is>
      </c>
      <c r="B53" s="3" t="inlineStr">
        <is>
          <t>Tomato</t>
        </is>
      </c>
      <c r="C53" s="4" t="n">
        <v>292.25</v>
      </c>
      <c r="D53" s="3" t="inlineStr">
        <is>
          <t>Rain-fed</t>
        </is>
      </c>
      <c r="E53" s="4" t="n">
        <v>4.08</v>
      </c>
      <c r="F53" s="4" t="n">
        <v>0.76</v>
      </c>
      <c r="G53" s="4" t="n">
        <v>45.14</v>
      </c>
      <c r="H53" s="3" t="inlineStr">
        <is>
          <t>Silty</t>
        </is>
      </c>
      <c r="I53" s="3" t="inlineStr">
        <is>
          <t>Kharif</t>
        </is>
      </c>
      <c r="J53" s="4" t="n">
        <v>90232.08</v>
      </c>
      <c r="K53" s="5">
        <f>E53/C53</f>
        <v/>
      </c>
      <c r="L53" s="5">
        <f>G53/C53</f>
        <v/>
      </c>
      <c r="M53" s="5">
        <f>IF(G53=0,0,J53/G53)</f>
        <v/>
      </c>
      <c r="N53" s="5">
        <f>IF(E53=0,0,ROUND((G53/E53)*10,2))</f>
        <v/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📊 PIVOT TABLE: AVERAGE YIELD (tons) BY CROP TYPE &amp; SEASON</t>
        </is>
      </c>
    </row>
    <row r="3">
      <c r="A3" s="6" t="inlineStr">
        <is>
          <t>Crop_Type</t>
        </is>
      </c>
      <c r="B3" s="7" t="inlineStr">
        <is>
          <t>Kharif</t>
        </is>
      </c>
      <c r="C3" s="7" t="inlineStr">
        <is>
          <t>Rabi</t>
        </is>
      </c>
      <c r="D3" s="7" t="inlineStr">
        <is>
          <t>Zaid</t>
        </is>
      </c>
      <c r="E3" s="7" t="inlineStr">
        <is>
          <t>Total_Avg</t>
        </is>
      </c>
    </row>
    <row r="4">
      <c r="A4" s="8" t="inlineStr">
        <is>
          <t>Barley</t>
        </is>
      </c>
      <c r="B4" s="5">
        <f>AVERAGEIFS('Cleaned Data + Formulas'!$G:$G,'Cleaned Data + Formulas'!$B:$B,A4,'Cleaned Data + Formulas'!$I:$I,B$3)</f>
        <v/>
      </c>
      <c r="C4" s="5">
        <f>AVERAGEIFS('Cleaned Data + Formulas'!$G:$G,'Cleaned Data + Formulas'!$B:$B,A4,'Cleaned Data + Formulas'!$I:$I,C$3)</f>
        <v/>
      </c>
      <c r="D4" s="5">
        <f>AVERAGEIFS('Cleaned Data + Formulas'!$G:$G,'Cleaned Data + Formulas'!$B:$B,A4,'Cleaned Data + Formulas'!$I:$I,D$3)</f>
        <v/>
      </c>
      <c r="E4" s="5">
        <f>AVERAGEIFS('Cleaned Data + Formulas'!$G:$G,'Cleaned Data + Formulas'!$B:$B,A4,'Cleaned Data + Formulas'!$I:$I,E$3)</f>
        <v/>
      </c>
    </row>
    <row r="5">
      <c r="A5" s="8" t="inlineStr">
        <is>
          <t>Carrot</t>
        </is>
      </c>
      <c r="B5" s="5">
        <f>AVERAGEIFS('Cleaned Data + Formulas'!$G:$G,'Cleaned Data + Formulas'!$B:$B,A5,'Cleaned Data + Formulas'!$I:$I,B$3)</f>
        <v/>
      </c>
      <c r="C5" s="5">
        <f>AVERAGEIFS('Cleaned Data + Formulas'!$G:$G,'Cleaned Data + Formulas'!$B:$B,A5,'Cleaned Data + Formulas'!$I:$I,C$3)</f>
        <v/>
      </c>
      <c r="D5" s="5">
        <f>AVERAGEIFS('Cleaned Data + Formulas'!$G:$G,'Cleaned Data + Formulas'!$B:$B,A5,'Cleaned Data + Formulas'!$I:$I,D$3)</f>
        <v/>
      </c>
      <c r="E5" s="5">
        <f>AVERAGEIFS('Cleaned Data + Formulas'!$G:$G,'Cleaned Data + Formulas'!$B:$B,A5,'Cleaned Data + Formulas'!$I:$I,E$3)</f>
        <v/>
      </c>
    </row>
    <row r="6">
      <c r="A6" s="8" t="inlineStr">
        <is>
          <t>Cotton</t>
        </is>
      </c>
      <c r="B6" s="5">
        <f>AVERAGEIFS('Cleaned Data + Formulas'!$G:$G,'Cleaned Data + Formulas'!$B:$B,A6,'Cleaned Data + Formulas'!$I:$I,B$3)</f>
        <v/>
      </c>
      <c r="C6" s="5">
        <f>AVERAGEIFS('Cleaned Data + Formulas'!$G:$G,'Cleaned Data + Formulas'!$B:$B,A6,'Cleaned Data + Formulas'!$I:$I,C$3)</f>
        <v/>
      </c>
      <c r="D6" s="5">
        <f>AVERAGEIFS('Cleaned Data + Formulas'!$G:$G,'Cleaned Data + Formulas'!$B:$B,A6,'Cleaned Data + Formulas'!$I:$I,D$3)</f>
        <v/>
      </c>
      <c r="E6" s="5">
        <f>AVERAGEIFS('Cleaned Data + Formulas'!$G:$G,'Cleaned Data + Formulas'!$B:$B,A6,'Cleaned Data + Formulas'!$I:$I,E$3)</f>
        <v/>
      </c>
    </row>
    <row r="7">
      <c r="A7" s="8" t="inlineStr">
        <is>
          <t>Maize</t>
        </is>
      </c>
      <c r="B7" s="5">
        <f>AVERAGEIFS('Cleaned Data + Formulas'!$G:$G,'Cleaned Data + Formulas'!$B:$B,A7,'Cleaned Data + Formulas'!$I:$I,B$3)</f>
        <v/>
      </c>
      <c r="C7" s="5">
        <f>AVERAGEIFS('Cleaned Data + Formulas'!$G:$G,'Cleaned Data + Formulas'!$B:$B,A7,'Cleaned Data + Formulas'!$I:$I,C$3)</f>
        <v/>
      </c>
      <c r="D7" s="5">
        <f>AVERAGEIFS('Cleaned Data + Formulas'!$G:$G,'Cleaned Data + Formulas'!$B:$B,A7,'Cleaned Data + Formulas'!$I:$I,D$3)</f>
        <v/>
      </c>
      <c r="E7" s="5">
        <f>AVERAGEIFS('Cleaned Data + Formulas'!$G:$G,'Cleaned Data + Formulas'!$B:$B,A7,'Cleaned Data + Formulas'!$I:$I,E$3)</f>
        <v/>
      </c>
    </row>
    <row r="8">
      <c r="A8" s="8" t="inlineStr">
        <is>
          <t>Potato</t>
        </is>
      </c>
      <c r="B8" s="5">
        <f>AVERAGEIFS('Cleaned Data + Formulas'!$G:$G,'Cleaned Data + Formulas'!$B:$B,A8,'Cleaned Data + Formulas'!$I:$I,B$3)</f>
        <v/>
      </c>
      <c r="C8" s="5">
        <f>AVERAGEIFS('Cleaned Data + Formulas'!$G:$G,'Cleaned Data + Formulas'!$B:$B,A8,'Cleaned Data + Formulas'!$I:$I,C$3)</f>
        <v/>
      </c>
      <c r="D8" s="5">
        <f>AVERAGEIFS('Cleaned Data + Formulas'!$G:$G,'Cleaned Data + Formulas'!$B:$B,A8,'Cleaned Data + Formulas'!$I:$I,D$3)</f>
        <v/>
      </c>
      <c r="E8" s="5">
        <f>AVERAGEIFS('Cleaned Data + Formulas'!$G:$G,'Cleaned Data + Formulas'!$B:$B,A8,'Cleaned Data + Formulas'!$I:$I,E$3)</f>
        <v/>
      </c>
    </row>
    <row r="9">
      <c r="A9" s="8" t="inlineStr">
        <is>
          <t>Rice</t>
        </is>
      </c>
      <c r="B9" s="5">
        <f>AVERAGEIFS('Cleaned Data + Formulas'!$G:$G,'Cleaned Data + Formulas'!$B:$B,A9,'Cleaned Data + Formulas'!$I:$I,B$3)</f>
        <v/>
      </c>
      <c r="C9" s="5">
        <f>AVERAGEIFS('Cleaned Data + Formulas'!$G:$G,'Cleaned Data + Formulas'!$B:$B,A9,'Cleaned Data + Formulas'!$I:$I,C$3)</f>
        <v/>
      </c>
      <c r="D9" s="5">
        <f>AVERAGEIFS('Cleaned Data + Formulas'!$G:$G,'Cleaned Data + Formulas'!$B:$B,A9,'Cleaned Data + Formulas'!$I:$I,D$3)</f>
        <v/>
      </c>
      <c r="E9" s="5">
        <f>AVERAGEIFS('Cleaned Data + Formulas'!$G:$G,'Cleaned Data + Formulas'!$B:$B,A9,'Cleaned Data + Formulas'!$I:$I,E$3)</f>
        <v/>
      </c>
    </row>
    <row r="10">
      <c r="A10" s="8" t="inlineStr">
        <is>
          <t>Soybean</t>
        </is>
      </c>
      <c r="B10" s="5">
        <f>AVERAGEIFS('Cleaned Data + Formulas'!$G:$G,'Cleaned Data + Formulas'!$B:$B,A10,'Cleaned Data + Formulas'!$I:$I,B$3)</f>
        <v/>
      </c>
      <c r="C10" s="5">
        <f>AVERAGEIFS('Cleaned Data + Formulas'!$G:$G,'Cleaned Data + Formulas'!$B:$B,A10,'Cleaned Data + Formulas'!$I:$I,C$3)</f>
        <v/>
      </c>
      <c r="D10" s="5">
        <f>AVERAGEIFS('Cleaned Data + Formulas'!$G:$G,'Cleaned Data + Formulas'!$B:$B,A10,'Cleaned Data + Formulas'!$I:$I,D$3)</f>
        <v/>
      </c>
      <c r="E10" s="5">
        <f>AVERAGEIFS('Cleaned Data + Formulas'!$G:$G,'Cleaned Data + Formulas'!$B:$B,A10,'Cleaned Data + Formulas'!$I:$I,E$3)</f>
        <v/>
      </c>
    </row>
    <row r="11">
      <c r="A11" s="8" t="inlineStr">
        <is>
          <t>Sugarcane</t>
        </is>
      </c>
      <c r="B11" s="5">
        <f>AVERAGEIFS('Cleaned Data + Formulas'!$G:$G,'Cleaned Data + Formulas'!$B:$B,A11,'Cleaned Data + Formulas'!$I:$I,B$3)</f>
        <v/>
      </c>
      <c r="C11" s="5">
        <f>AVERAGEIFS('Cleaned Data + Formulas'!$G:$G,'Cleaned Data + Formulas'!$B:$B,A11,'Cleaned Data + Formulas'!$I:$I,C$3)</f>
        <v/>
      </c>
      <c r="D11" s="5">
        <f>AVERAGEIFS('Cleaned Data + Formulas'!$G:$G,'Cleaned Data + Formulas'!$B:$B,A11,'Cleaned Data + Formulas'!$I:$I,D$3)</f>
        <v/>
      </c>
      <c r="E11" s="5">
        <f>AVERAGEIFS('Cleaned Data + Formulas'!$G:$G,'Cleaned Data + Formulas'!$B:$B,A11,'Cleaned Data + Formulas'!$I:$I,E$3)</f>
        <v/>
      </c>
    </row>
    <row r="12">
      <c r="A12" s="8" t="inlineStr">
        <is>
          <t>Tomato</t>
        </is>
      </c>
      <c r="B12" s="5">
        <f>AVERAGEIFS('Cleaned Data + Formulas'!$G:$G,'Cleaned Data + Formulas'!$B:$B,A12,'Cleaned Data + Formulas'!$I:$I,B$3)</f>
        <v/>
      </c>
      <c r="C12" s="5">
        <f>AVERAGEIFS('Cleaned Data + Formulas'!$G:$G,'Cleaned Data + Formulas'!$B:$B,A12,'Cleaned Data + Formulas'!$I:$I,C$3)</f>
        <v/>
      </c>
      <c r="D12" s="5">
        <f>AVERAGEIFS('Cleaned Data + Formulas'!$G:$G,'Cleaned Data + Formulas'!$B:$B,A12,'Cleaned Data + Formulas'!$I:$I,D$3)</f>
        <v/>
      </c>
      <c r="E12" s="5">
        <f>AVERAGEIFS('Cleaned Data + Formulas'!$G:$G,'Cleaned Data + Formulas'!$B:$B,A12,'Cleaned Data + Formulas'!$I:$I,E$3)</f>
        <v/>
      </c>
    </row>
    <row r="13">
      <c r="A13" s="8" t="inlineStr">
        <is>
          <t>Wheat</t>
        </is>
      </c>
      <c r="B13" s="5">
        <f>AVERAGEIFS('Cleaned Data + Formulas'!$G:$G,'Cleaned Data + Formulas'!$B:$B,A13,'Cleaned Data + Formulas'!$I:$I,B$3)</f>
        <v/>
      </c>
      <c r="C13" s="5">
        <f>AVERAGEIFS('Cleaned Data + Formulas'!$G:$G,'Cleaned Data + Formulas'!$B:$B,A13,'Cleaned Data + Formulas'!$I:$I,C$3)</f>
        <v/>
      </c>
      <c r="D13" s="5">
        <f>AVERAGEIFS('Cleaned Data + Formulas'!$G:$G,'Cleaned Data + Formulas'!$B:$B,A13,'Cleaned Data + Formulas'!$I:$I,D$3)</f>
        <v/>
      </c>
      <c r="E13" s="5">
        <f>AVERAGEIFS('Cleaned Data + Formulas'!$G:$G,'Cleaned Data + Formulas'!$B:$B,A13,'Cleaned Data + Formulas'!$I:$I,E$3)</f>
        <v/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1" t="inlineStr">
        <is>
          <t>💧 PIVOT TABLE: PERFORMANCE METRICS BY IRRIGATION TYPE</t>
        </is>
      </c>
    </row>
    <row r="3">
      <c r="A3" s="6" t="inlineStr">
        <is>
          <t>Irrigation_Type</t>
        </is>
      </c>
      <c r="B3" s="2" t="inlineStr">
        <is>
          <t>Fertilizer_Used(tons)</t>
        </is>
      </c>
      <c r="C3" s="2" t="inlineStr">
        <is>
          <t>Water_Usage(cubic meters)</t>
        </is>
      </c>
      <c r="D3" s="2" t="inlineStr">
        <is>
          <t>Yield(tons)</t>
        </is>
      </c>
    </row>
    <row r="4">
      <c r="A4" s="8" t="inlineStr">
        <is>
          <t>Drip</t>
        </is>
      </c>
      <c r="B4" s="5">
        <f>AVERAGEIF('Cleaned Data + Formulas'!$D:$D,A4,'Cleaned Data + Formulas'!E:$E)</f>
        <v/>
      </c>
      <c r="C4" s="5">
        <f>AVERAGEIF('Cleaned Data + Formulas'!$D:$D,A4,'Cleaned Data + Formulas'!J:$J)</f>
        <v/>
      </c>
      <c r="D4" s="5">
        <f>AVERAGEIF('Cleaned Data + Formulas'!$D:$D,A4,'Cleaned Data + Formulas'!G:$G)</f>
        <v/>
      </c>
    </row>
    <row r="5">
      <c r="A5" s="8" t="inlineStr">
        <is>
          <t>Flood</t>
        </is>
      </c>
      <c r="B5" s="5">
        <f>AVERAGEIF('Cleaned Data + Formulas'!$D:$D,A5,'Cleaned Data + Formulas'!E:$E)</f>
        <v/>
      </c>
      <c r="C5" s="5">
        <f>AVERAGEIF('Cleaned Data + Formulas'!$D:$D,A5,'Cleaned Data + Formulas'!J:$J)</f>
        <v/>
      </c>
      <c r="D5" s="5">
        <f>AVERAGEIF('Cleaned Data + Formulas'!$D:$D,A5,'Cleaned Data + Formulas'!G:$G)</f>
        <v/>
      </c>
    </row>
    <row r="6">
      <c r="A6" s="8" t="inlineStr">
        <is>
          <t>Manual</t>
        </is>
      </c>
      <c r="B6" s="5">
        <f>AVERAGEIF('Cleaned Data + Formulas'!$D:$D,A6,'Cleaned Data + Formulas'!E:$E)</f>
        <v/>
      </c>
      <c r="C6" s="5">
        <f>AVERAGEIF('Cleaned Data + Formulas'!$D:$D,A6,'Cleaned Data + Formulas'!J:$J)</f>
        <v/>
      </c>
      <c r="D6" s="5">
        <f>AVERAGEIF('Cleaned Data + Formulas'!$D:$D,A6,'Cleaned Data + Formulas'!G:$G)</f>
        <v/>
      </c>
    </row>
    <row r="7">
      <c r="A7" s="8" t="inlineStr">
        <is>
          <t>Rain-fed</t>
        </is>
      </c>
      <c r="B7" s="5">
        <f>AVERAGEIF('Cleaned Data + Formulas'!$D:$D,A7,'Cleaned Data + Formulas'!E:$E)</f>
        <v/>
      </c>
      <c r="C7" s="5">
        <f>AVERAGEIF('Cleaned Data + Formulas'!$D:$D,A7,'Cleaned Data + Formulas'!J:$J)</f>
        <v/>
      </c>
      <c r="D7" s="5">
        <f>AVERAGEIF('Cleaned Data + Formulas'!$D:$D,A7,'Cleaned Data + Formulas'!G:$G)</f>
        <v/>
      </c>
    </row>
    <row r="8">
      <c r="A8" s="8" t="inlineStr">
        <is>
          <t>Sprinkler</t>
        </is>
      </c>
      <c r="B8" s="5">
        <f>AVERAGEIF('Cleaned Data + Formulas'!$D:$D,A8,'Cleaned Data + Formulas'!E:$E)</f>
        <v/>
      </c>
      <c r="C8" s="5">
        <f>AVERAGEIF('Cleaned Data + Formulas'!$D:$D,A8,'Cleaned Data + Formulas'!J:$J)</f>
        <v/>
      </c>
      <c r="D8" s="5">
        <f>AVERAGEIF('Cleaned Data + Formulas'!$D:$D,A8,'Cleaned Data + Formulas'!G:$G)</f>
        <v/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1" t="inlineStr">
        <is>
          <t>🌱 PIVOT TABLE: METRICS BY SOIL TYPE</t>
        </is>
      </c>
    </row>
    <row r="3">
      <c r="A3" s="6" t="inlineStr">
        <is>
          <t>Soil_Type</t>
        </is>
      </c>
      <c r="B3" s="2" t="inlineStr">
        <is>
          <t>Yield(tons)</t>
        </is>
      </c>
      <c r="C3" s="2" t="inlineStr">
        <is>
          <t>Farm_Area(acres)</t>
        </is>
      </c>
      <c r="D3" s="2" t="inlineStr">
        <is>
          <t>Fertilizer_Used(tons)</t>
        </is>
      </c>
    </row>
    <row r="4">
      <c r="A4" s="8" t="inlineStr">
        <is>
          <t>Clay</t>
        </is>
      </c>
      <c r="B4" s="5">
        <f>AVERAGEIF('Cleaned Data + Formulas'!$H:$H,A4,'Cleaned Data + Formulas'!G:$G)</f>
        <v/>
      </c>
      <c r="C4" s="5">
        <f>AVERAGEIF('Cleaned Data + Formulas'!$H:$H,A4,'Cleaned Data + Formulas'!C:$C)</f>
        <v/>
      </c>
      <c r="D4" s="5">
        <f>AVERAGEIF('Cleaned Data + Formulas'!$H:$H,A4,'Cleaned Data + Formulas'!E:$E)</f>
        <v/>
      </c>
    </row>
    <row r="5">
      <c r="A5" s="8" t="inlineStr">
        <is>
          <t>Loamy</t>
        </is>
      </c>
      <c r="B5" s="5">
        <f>AVERAGEIF('Cleaned Data + Formulas'!$H:$H,A5,'Cleaned Data + Formulas'!G:$G)</f>
        <v/>
      </c>
      <c r="C5" s="5">
        <f>AVERAGEIF('Cleaned Data + Formulas'!$H:$H,A5,'Cleaned Data + Formulas'!C:$C)</f>
        <v/>
      </c>
      <c r="D5" s="5">
        <f>AVERAGEIF('Cleaned Data + Formulas'!$H:$H,A5,'Cleaned Data + Formulas'!E:$E)</f>
        <v/>
      </c>
    </row>
    <row r="6">
      <c r="A6" s="8" t="inlineStr">
        <is>
          <t>Peaty</t>
        </is>
      </c>
      <c r="B6" s="5">
        <f>AVERAGEIF('Cleaned Data + Formulas'!$H:$H,A6,'Cleaned Data + Formulas'!G:$G)</f>
        <v/>
      </c>
      <c r="C6" s="5">
        <f>AVERAGEIF('Cleaned Data + Formulas'!$H:$H,A6,'Cleaned Data + Formulas'!C:$C)</f>
        <v/>
      </c>
      <c r="D6" s="5">
        <f>AVERAGEIF('Cleaned Data + Formulas'!$H:$H,A6,'Cleaned Data + Formulas'!E:$E)</f>
        <v/>
      </c>
    </row>
    <row r="7">
      <c r="A7" s="8" t="inlineStr">
        <is>
          <t>Sandy</t>
        </is>
      </c>
      <c r="B7" s="5">
        <f>AVERAGEIF('Cleaned Data + Formulas'!$H:$H,A7,'Cleaned Data + Formulas'!G:$G)</f>
        <v/>
      </c>
      <c r="C7" s="5">
        <f>AVERAGEIF('Cleaned Data + Formulas'!$H:$H,A7,'Cleaned Data + Formulas'!C:$C)</f>
        <v/>
      </c>
      <c r="D7" s="5">
        <f>AVERAGEIF('Cleaned Data + Formulas'!$H:$H,A7,'Cleaned Data + Formulas'!E:$E)</f>
        <v/>
      </c>
    </row>
    <row r="8">
      <c r="A8" s="8" t="inlineStr">
        <is>
          <t>Silty</t>
        </is>
      </c>
      <c r="B8" s="5">
        <f>AVERAGEIF('Cleaned Data + Formulas'!$H:$H,A8,'Cleaned Data + Formulas'!G:$G)</f>
        <v/>
      </c>
      <c r="C8" s="5">
        <f>AVERAGEIF('Cleaned Data + Formulas'!$H:$H,A8,'Cleaned Data + Formulas'!C:$C)</f>
        <v/>
      </c>
      <c r="D8" s="5">
        <f>AVERAGEIF('Cleaned Data + Formulas'!$H:$H,A8,'Cleaned Data + Formulas'!E:$E)</f>
        <v/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0" customWidth="1" min="3" max="3"/>
    <col width="45" customWidth="1" min="4" max="4"/>
  </cols>
  <sheetData>
    <row r="1" ht="22" customHeight="1">
      <c r="A1" s="1" t="inlineStr">
        <is>
          <t>📐 FORMULA REFERENCE GUIDE - HOW CALCULATIONS WORK</t>
        </is>
      </c>
    </row>
    <row r="3">
      <c r="A3" s="2" t="inlineStr">
        <is>
          <t>Metric</t>
        </is>
      </c>
      <c r="B3" s="2" t="inlineStr">
        <is>
          <t>Formula</t>
        </is>
      </c>
      <c r="C3" s="2" t="inlineStr">
        <is>
          <t>Description</t>
        </is>
      </c>
      <c r="D3" s="2" t="inlineStr">
        <is>
          <t>Example</t>
        </is>
      </c>
    </row>
    <row r="4">
      <c r="A4" s="9" t="inlineStr">
        <is>
          <t>Fertilizer_per_Acre</t>
        </is>
      </c>
      <c r="B4" s="10">
        <f>Fertilizer_Used(tons) / Farm_Area(acres)</f>
        <v/>
      </c>
      <c r="C4" s="11" t="inlineStr">
        <is>
          <t>Calculates fertilizer intensity per acre of farm</t>
        </is>
      </c>
      <c r="D4" s="11" t="inlineStr">
        <is>
          <t>8.14 tons / 329.4 acres = 0.025 tons/acre</t>
        </is>
      </c>
    </row>
    <row r="5">
      <c r="A5" s="9" t="inlineStr">
        <is>
          <t>Yield_per_Acre</t>
        </is>
      </c>
      <c r="B5" s="10">
        <f>Yield(tons) / Farm_Area(acres)</f>
        <v/>
      </c>
      <c r="C5" s="11" t="inlineStr">
        <is>
          <t>Calculates productivity per acre of farm</t>
        </is>
      </c>
      <c r="D5" s="11" t="inlineStr">
        <is>
          <t>14.44 tons / 329.4 acres = 0.044 tons/acre</t>
        </is>
      </c>
    </row>
    <row r="6">
      <c r="A6" s="9" t="inlineStr">
        <is>
          <t>Water_per_Ton_Yield</t>
        </is>
      </c>
      <c r="B6" s="10">
        <f>Water_Usage(cubic meters) / Yield(tons)</f>
        <v/>
      </c>
      <c r="C6" s="11" t="inlineStr">
        <is>
          <t>Calculates water efficiency ratio (lower is better)</t>
        </is>
      </c>
      <c r="D6" s="11" t="inlineStr">
        <is>
          <t>76648.2 m³ / 14.44 tons = 5309.33 m³/ton</t>
        </is>
      </c>
    </row>
    <row r="7">
      <c r="A7" s="9" t="inlineStr">
        <is>
          <t>Efficiency_Score</t>
        </is>
      </c>
      <c r="B7" s="10">
        <f>(Yield(tons) / Fertilizer_Used(tons)) × 10</f>
        <v/>
      </c>
      <c r="C7" s="11" t="inlineStr">
        <is>
          <t>Composite efficiency metric (0-100 scale)</t>
        </is>
      </c>
      <c r="D7" s="11" t="inlineStr">
        <is>
          <t>(14.44 / 8.14) × 10 = 17.74 score</t>
        </is>
      </c>
    </row>
    <row r="8">
      <c r="A8" s="9" t="inlineStr">
        <is>
          <t>Pivot Yield by Crop×Season</t>
        </is>
      </c>
      <c r="B8" s="10">
        <f>AVERAGEIFS(Yield, Crop_Type, [selected crop], Season, [selected season])</f>
        <v/>
      </c>
      <c r="C8" s="11" t="inlineStr">
        <is>
          <t>Averages yield across all farms matching crop and season</t>
        </is>
      </c>
      <c r="D8" s="11" t="inlineStr">
        <is>
          <t>Average yield for Cotton in Kharif = 20.33 tons</t>
        </is>
      </c>
    </row>
    <row r="9">
      <c r="A9" s="9" t="inlineStr">
        <is>
          <t>Pivot by Irrigation Type</t>
        </is>
      </c>
      <c r="B9" s="10">
        <f>AVERAGEIF(Irrigation_Type, [selected type], [metric column])</f>
        <v/>
      </c>
      <c r="C9" s="11" t="inlineStr">
        <is>
          <t>Averages metric (Fertilizer, Water, Yield) by irrigation method</t>
        </is>
      </c>
      <c r="D9" s="11" t="inlineStr">
        <is>
          <t>Average fertilizer for Drip irrigation = 4.52 tons</t>
        </is>
      </c>
    </row>
    <row r="10">
      <c r="A10" s="9" t="inlineStr">
        <is>
          <t>Pivot by Soil Type</t>
        </is>
      </c>
      <c r="B10" s="10">
        <f>AVERAGEIF(Soil_Type, [selected type], [metric column])</f>
        <v/>
      </c>
      <c r="C10" s="11" t="inlineStr">
        <is>
          <t>Averages metric by soil type across all farms</t>
        </is>
      </c>
      <c r="D10" s="11" t="inlineStr">
        <is>
          <t>Average yield for Loamy soil = 28.45 tons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2026-05-21T06:58:24Z</dcterms:created>
  <dcterms:modified xmlns:dcterms="http://purl.org/dc/terms/" xmlns:xsi="http://www.w3.org/2001/XMLSchema-instance" xsi:type="dcterms:W3CDTF">2026-05-21T06:58:24Z</dcterms:modified>
</cp:coreProperties>
</file>